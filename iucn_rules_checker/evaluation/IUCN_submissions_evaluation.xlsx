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tsav\Downloads\"/>
    </mc:Choice>
  </mc:AlternateContent>
  <xr:revisionPtr revIDLastSave="0" documentId="13_ncr:1_{64068E44-2B97-4F5E-81EF-7EF639E01E25}" xr6:coauthVersionLast="47" xr6:coauthVersionMax="47" xr10:uidLastSave="{00000000-0000-0000-0000-000000000000}"/>
  <bookViews>
    <workbookView xWindow="28680" yWindow="-120" windowWidth="29040" windowHeight="15720" tabRatio="500" xr2:uid="{00000000-000D-0000-FFFF-FFFF00000000}"/>
  </bookViews>
  <sheets>
    <sheet name="Metrics Summary" sheetId="1" r:id="rId1"/>
    <sheet name="FP Summary" sheetId="2" r:id="rId2"/>
  </sheets>
  <definedNames>
    <definedName name="_xlnm._FilterDatabase" localSheetId="1" hidden="1">'FP Summary'!$A$3:$E$3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4" i="1" l="1"/>
  <c r="E114" i="1"/>
  <c r="D114" i="1"/>
  <c r="C114" i="1"/>
  <c r="C134" i="1" s="1"/>
  <c r="B114" i="1"/>
  <c r="D119" i="1" s="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114" i="1" l="1"/>
  <c r="C127" i="1"/>
  <c r="C129" i="1"/>
  <c r="C126" i="1"/>
  <c r="C130" i="1"/>
  <c r="C132" i="1"/>
  <c r="C128" i="1"/>
  <c r="C131" i="1"/>
  <c r="C133" i="1"/>
  <c r="B134" i="1"/>
  <c r="D118" i="1"/>
  <c r="D120" i="1" s="1"/>
  <c r="D121" i="1"/>
</calcChain>
</file>

<file path=xl/sharedStrings.xml><?xml version="1.0" encoding="utf-8"?>
<sst xmlns="http://schemas.openxmlformats.org/spreadsheetml/2006/main" count="2247" uniqueCount="713">
  <si>
    <t>Checker Performance Metrics — All Species (109 Assessments)</t>
  </si>
  <si>
    <t>1. Per-Species Flag Counts</t>
  </si>
  <si>
    <t>Species</t>
  </si>
  <si>
    <t>TP</t>
  </si>
  <si>
    <t>FP</t>
  </si>
  <si>
    <t>FN</t>
  </si>
  <si>
    <t>Total Flags</t>
  </si>
  <si>
    <t>Precision</t>
  </si>
  <si>
    <t>Recall</t>
  </si>
  <si>
    <t>Acianthera odontotepala</t>
  </si>
  <si>
    <t>Benstonea celebica</t>
  </si>
  <si>
    <t>Benstonea ellipsoidea</t>
  </si>
  <si>
    <t>Benstonea ornithocephala</t>
  </si>
  <si>
    <t>Benstonea permicron</t>
  </si>
  <si>
    <t>Benstonea pseudosyncarpa</t>
  </si>
  <si>
    <t>Benstonea verruculosa</t>
  </si>
  <si>
    <t>Chionanthus nitens</t>
  </si>
  <si>
    <t>Clinopodium axillare</t>
  </si>
  <si>
    <t>Clinopodium pallidum</t>
  </si>
  <si>
    <t>Coleus lyratus</t>
  </si>
  <si>
    <t>Crassocephalum guineense</t>
  </si>
  <si>
    <t>Ditassa fiebrigii</t>
  </si>
  <si>
    <t>Dyschoriste prostrata</t>
  </si>
  <si>
    <t>Gardenia kabaenensis</t>
  </si>
  <si>
    <t>Habropetalum dawei</t>
  </si>
  <si>
    <t>Hibiscus fabiana</t>
  </si>
  <si>
    <t>Ibatia pucara</t>
  </si>
  <si>
    <t>Justicia chuquisacensis</t>
  </si>
  <si>
    <t>Justicia kessleri</t>
  </si>
  <si>
    <t>Justicia mandonii</t>
  </si>
  <si>
    <t>Justicia pluriformis</t>
  </si>
  <si>
    <t>Lepanthes adamsii</t>
  </si>
  <si>
    <t>Lepanthes unguicularis</t>
  </si>
  <si>
    <t>Liparis saundersiana</t>
  </si>
  <si>
    <t>Loxodera strigosa</t>
  </si>
  <si>
    <t>Matelea sartago-diaboli</t>
  </si>
  <si>
    <t>Maxillaria swartziana</t>
  </si>
  <si>
    <t>Meriania leucantha</t>
  </si>
  <si>
    <t>Miconia augustgrisebachii</t>
  </si>
  <si>
    <t>Miconia crossosepala</t>
  </si>
  <si>
    <t>Miconia gloriosa</t>
  </si>
  <si>
    <t>Miconia hirsuta</t>
  </si>
  <si>
    <t>Miconia hirtellicaulis</t>
  </si>
  <si>
    <t>Miconia nubicola</t>
  </si>
  <si>
    <t>Miconia proctorii</t>
  </si>
  <si>
    <t>Miconia pyxidata</t>
  </si>
  <si>
    <t>Millettia leonensis</t>
  </si>
  <si>
    <t>Mussaenda rufa</t>
  </si>
  <si>
    <t>Myrcia almasensis</t>
  </si>
  <si>
    <t>Myrcia anomala</t>
  </si>
  <si>
    <t>Myrcia atrorufa</t>
  </si>
  <si>
    <t>Myrcia bartlettii</t>
  </si>
  <si>
    <t>Myrcia crassa</t>
  </si>
  <si>
    <t>Myrcia cuneifolia</t>
  </si>
  <si>
    <t>Myrcia eugenioides</t>
  </si>
  <si>
    <t>Myrcia gaudichaudiana</t>
  </si>
  <si>
    <t>Myrcia guarujana</t>
  </si>
  <si>
    <t>Myrcia lignosa</t>
  </si>
  <si>
    <t>Myrcia lilloi</t>
  </si>
  <si>
    <t>Myrcia longicalyptrata</t>
  </si>
  <si>
    <t>Myrcia macucana</t>
  </si>
  <si>
    <t>Myrcia maculata</t>
  </si>
  <si>
    <t>Myrcia maximiliana</t>
  </si>
  <si>
    <t>Myrcia melanophylla</t>
  </si>
  <si>
    <t>Myrcia neoaequatoriensis</t>
  </si>
  <si>
    <t>Myrcia neomcvaughii</t>
  </si>
  <si>
    <t>Myrcia neooreophila</t>
  </si>
  <si>
    <t>Myrcia neosmithii</t>
  </si>
  <si>
    <t>Myrcia oblongata</t>
  </si>
  <si>
    <t>Myrcia parvifolia</t>
  </si>
  <si>
    <t>Myrcia pleophlebia</t>
  </si>
  <si>
    <t>Myrcia pullei</t>
  </si>
  <si>
    <t>Myrcia pulvinata</t>
  </si>
  <si>
    <t>Myrcia reitzii</t>
  </si>
  <si>
    <t>Myrcia rufotomentosa</t>
  </si>
  <si>
    <t>Myrcia schottii</t>
  </si>
  <si>
    <t>Myrcia suberosa</t>
  </si>
  <si>
    <t>Myrcia tridymantha</t>
  </si>
  <si>
    <t>Myrcia tumidonodia</t>
  </si>
  <si>
    <t>Myrcia ubatubana</t>
  </si>
  <si>
    <t>Myrcia unana</t>
  </si>
  <si>
    <t>Myrcia verticillaris</t>
  </si>
  <si>
    <t>Nicotiana cutleri</t>
  </si>
  <si>
    <t>Nicotiana kawakamii</t>
  </si>
  <si>
    <t>Ornithogalum tropicale</t>
  </si>
  <si>
    <t>Pancovia subcuneata</t>
  </si>
  <si>
    <t>Pandanus amaryllifolius</t>
  </si>
  <si>
    <t>Pandanus antaresensis</t>
  </si>
  <si>
    <t>Pandanus beccarii</t>
  </si>
  <si>
    <t>Pandanus beguinii</t>
  </si>
  <si>
    <t>Pandanus benstoneoides</t>
  </si>
  <si>
    <t>Pandanus brachyphyllus</t>
  </si>
  <si>
    <t>Pandanus concavus</t>
  </si>
  <si>
    <t>Pandanus dolichopodus</t>
  </si>
  <si>
    <t>Pandanus galorei</t>
  </si>
  <si>
    <t>Pandanus lais</t>
  </si>
  <si>
    <t>Pandanus leiophyllus</t>
  </si>
  <si>
    <t>Pandanus penicillus</t>
  </si>
  <si>
    <t>Pandanus sarasinorum</t>
  </si>
  <si>
    <t>Pandanus sulawesicus</t>
  </si>
  <si>
    <t>Philibertia globiflora</t>
  </si>
  <si>
    <t>Philibertia religiosa</t>
  </si>
  <si>
    <t>Pseudocentrum minus</t>
  </si>
  <si>
    <t>Ruellia antiquorum</t>
  </si>
  <si>
    <t>Salacighia linderi</t>
  </si>
  <si>
    <t>Salvia cardenasii</t>
  </si>
  <si>
    <t>Salvia serranoae</t>
  </si>
  <si>
    <t>Stereospermum leonense</t>
  </si>
  <si>
    <t>Ternstroemia guineensis</t>
  </si>
  <si>
    <t>Tillandsia dorisdaltoniae</t>
  </si>
  <si>
    <t>Tillandsia helmutii</t>
  </si>
  <si>
    <t>Tillandsia recurvispica</t>
  </si>
  <si>
    <t>Tillandsia yuncharaensis</t>
  </si>
  <si>
    <t>Tolumnia gauntlettii</t>
  </si>
  <si>
    <t>Trichanthecium tenerium</t>
  </si>
  <si>
    <t>Trompettia cardenasiana</t>
  </si>
  <si>
    <t>Vepris fer</t>
  </si>
  <si>
    <t>Vepris occidentalis</t>
  </si>
  <si>
    <t>TOTAL (109 assessments)</t>
  </si>
  <si>
    <t>2. Overall Precision, Recall &amp; F1</t>
  </si>
  <si>
    <t>Metric</t>
  </si>
  <si>
    <t>Formula</t>
  </si>
  <si>
    <t>Calculation</t>
  </si>
  <si>
    <t>Score</t>
  </si>
  <si>
    <t>Interpretation</t>
  </si>
  <si>
    <t>TP / (TP + FP)</t>
  </si>
  <si>
    <t>572 / (572 + 409)</t>
  </si>
  <si>
    <t>Of all flags raised, what % are genuine errors</t>
  </si>
  <si>
    <t>Recall (Sensitivity)</t>
  </si>
  <si>
    <t>TP / (TP + FN)</t>
  </si>
  <si>
    <t>572 / (572 + 23)</t>
  </si>
  <si>
    <t>Of all real errors (TP + FN), what % were detected by the checker</t>
  </si>
  <si>
    <t>F1 Score</t>
  </si>
  <si>
    <t>2×(P×R)/(P+R)</t>
  </si>
  <si>
    <t>Harmonic mean of Precision and Recall</t>
  </si>
  <si>
    <t>Balanced accuracy measure</t>
  </si>
  <si>
    <t>False Discovery Rate</t>
  </si>
  <si>
    <t>FP / (TP + FP)</t>
  </si>
  <si>
    <t>409 / (572 + 409)</t>
  </si>
  <si>
    <t>% of flags that are false alarms — primary tuning target</t>
  </si>
  <si>
    <t>3. False Positive Breakdown by Rule Class (all 111 Assessments)</t>
  </si>
  <si>
    <t>Rule Class</t>
  </si>
  <si>
    <t>FP Count</t>
  </si>
  <si>
    <t>% of All FPs</t>
  </si>
  <si>
    <t>Root Cause Pattern</t>
  </si>
  <si>
    <t>Recommended Fix</t>
  </si>
  <si>
    <t>IUCNTermsChecker.check_category_capitalization</t>
  </si>
  <si>
    <t>Six conflated patterns: (1) 'ex situ' as EX — dominant; (2) adjective 'vulnerable' as category; (3) 'ex' in taxonomic authorship; (4) 'Near Threatened' lowercased; (5) 'Ex situ' at sentence start (correct) flagged; (6) italic mid-word boundary misidentified. Also: check_threatened_case fires on proper publication titles</t>
  </si>
  <si>
    <t>Split into targeted rules. Add negative lookahead for 'ex situ'/'ex vitro'; exclude taxonomic authorship; protect 'Near Threatened'; check that 'Ex' before 'situ' at sentence start is correct; add context-awareness for publication titles</t>
  </si>
  <si>
    <t>NumberChecker.check_large_numbers</t>
  </si>
  <si>
    <t>Cannot distinguish: (1) specimen accession numbers (#NNN) — dominant; (2) page endpoints where source already en-dashed; (3) standalone page endpoints; (4) journal article IDs; (5) issue numbers vol(issue); (6) historical/taxonomic years; (7) numbers appearing in multiple document sections (same accession flagged twice)</t>
  </si>
  <si>
    <t>Exclude numbers preceded by '#'; detect already-en-dashed ranges and suppress endpoint firing; exclude issue numbers; exclude historical year patterns; deduplicate flags for same value appearing in multiple sections</t>
  </si>
  <si>
    <t>GeographyChecker.check_directional_capitalization</t>
  </si>
  <si>
    <t>No gazetteer: flags directional words in Indonesian provinces (West Papua, South East Sulawesi, North Maluku), PNG provinces (Western Province, Southern Highlands, West Sepik), named WWF ecoregions, UNESCO World Heritage Sites, and geographic descriptors</t>
  </si>
  <si>
    <t>Integrate comprehensive whitelist: Indonesian provinces, PNG provinces/regencies, named WWF ecoregions, UNESCO sites. Use full-phrase matching rather than partial token matching</t>
  </si>
  <si>
    <t>NumberChecker.check_sentence_start</t>
  </si>
  <si>
    <t>Fires on: (1) citation years in parenthetical refs; (2) numerals after c. NNN; (3) pers. comm. years. Boilerplate threat text shared across multiple assessments amplifies this FP</t>
  </si>
  <si>
    <t>Require preceding token to be a sentence-terminal period; exclude tokens following closing parentheses or Latin abbreviations</t>
  </si>
  <si>
    <t>AbbreviationChecker.check_et_al</t>
  </si>
  <si>
    <t>Fires on 'et al.' that is italic in source document in some assessments (checker italic detection issue); also correctly catches non-italic instances including unusual formatting (Philipson et al. in P. benstoneoides where text is partially italic)</t>
  </si>
  <si>
    <t>Verify italic state from underlying XML; handle mixed-italic formatting patterns more robustly</t>
  </si>
  <si>
    <t>BibliographyChecker.check_ampersand_usage</t>
  </si>
  <si>
    <t>Flags all '&amp;' including journal titles (Natureza &amp; Conservação), publisher locations, and book titles (Bismarck Archipelago &amp; the Solomon Islands); but correctly catches author-list ampersands</t>
  </si>
  <si>
    <t>Restrict to author-list context only; exclude text within italicised title spans and publisher address strings</t>
  </si>
  <si>
    <t>PunctuationChecker.check_for_example_commas</t>
  </si>
  <si>
    <t>Fires when 'for example'/'For example' is not preceded by a comma — incorrectly fires when 'For example' opens a new sentence (preceded by a period rather than a comma)</t>
  </si>
  <si>
    <t>Require that 'for example' is both preceded by a comma AND not at sentence start</t>
  </si>
  <si>
    <t>FormattingChecker.check_genus_and_species</t>
  </si>
  <si>
    <t>Matches genus/epithet in all document sections; in Pandanus species, correctly identifies unitalicised genus names in synonym lists</t>
  </si>
  <si>
    <t>Restrict body-text matching to metadata fields only; synonym-list matching appears reliable</t>
  </si>
  <si>
    <t>Other / unclassified FPs</t>
  </si>
  <si>
    <t>FPs from rules not individually broken down in this file</t>
  </si>
  <si>
    <t>Expand rule-level FP logging to capture all checker outputs</t>
  </si>
  <si>
    <t>TOTAL</t>
  </si>
  <si>
    <t>4. False Negative Summary — Errors Missed by Checker (13 FNs found)</t>
  </si>
  <si>
    <t>Error Missed</t>
  </si>
  <si>
    <t>Category</t>
  </si>
  <si>
    <t>Rule Gap</t>
  </si>
  <si>
    <t>Notes</t>
  </si>
  <si>
    <t>"kilometre" → "kilometer"</t>
  </si>
  <si>
    <t>Spelling</t>
  </si>
  <si>
    <t>SpellingChecker: missing word pair</t>
  </si>
  <si>
    <t>Running text body; checker covers utilised but not kilometre/kilometer</t>
  </si>
  <si>
    <t>"recognized" → "recognised"</t>
  </si>
  <si>
    <t>Running text; American spelling variant not in checker's word list</t>
  </si>
  <si>
    <t>"meters" → "metres"</t>
  </si>
  <si>
    <t>Running text; same gap</t>
  </si>
  <si>
    <t>Running text</t>
  </si>
  <si>
    <t>"e.g." in body text</t>
  </si>
  <si>
    <t>Abbreviation</t>
  </si>
  <si>
    <t>No rule for 'e.g.' in body text</t>
  </si>
  <si>
    <t>IUCN style: spell out as 'for example'</t>
  </si>
  <si>
    <t>"8-10 locations" hyphen in body</t>
  </si>
  <si>
    <t>Punctuation</t>
  </si>
  <si>
    <t>check_range_dashes: bibliography-only</t>
  </si>
  <si>
    <t>Hyphen range in running text Threats section</t>
  </si>
  <si>
    <t>"ex situ *collections" italic spacing</t>
  </si>
  <si>
    <t>Formatting</t>
  </si>
  <si>
    <t>No italic spacing anomaly rule</t>
  </si>
  <si>
    <t>Space before italic marker creates malformed formatting</t>
  </si>
  <si>
    <t>Same pattern</t>
  </si>
  <si>
    <t>"* ex situ *" italic spacing</t>
  </si>
  <si>
    <t>Space inside italic markers</t>
  </si>
  <si>
    <t>False Positives (FP) Summary  ·  IUCN Checker Evaluation  ·  396 Incorrect Flags  ·  109 Species</t>
  </si>
  <si>
    <t>False Positives are flags raised by the checker that are not genuine errors. They represent noise in checker output and reduce precision.</t>
  </si>
  <si>
    <t>Flagged Text / Error</t>
  </si>
  <si>
    <t>Error Type</t>
  </si>
  <si>
    <t>Rule Triggered</t>
  </si>
  <si>
    <t>C. nitens</t>
  </si>
  <si>
    <t>"East Java" flagged for lowercase</t>
  </si>
  <si>
    <t>—</t>
  </si>
  <si>
    <t>East Java (Jawa Timur) is an official Indonesian province — proper noun</t>
  </si>
  <si>
    <t>"Western Java Rain Forests" flagged for lowercase</t>
  </si>
  <si>
    <t>Named WWF ecoregion — proper noun, should be capitalised</t>
  </si>
  <si>
    <t>"Eastern Java-Bali Rain Forests" flagged for lowercase</t>
  </si>
  <si>
    <t>Named WWF ecoregion — proper noun</t>
  </si>
  <si>
    <t>"ex situ" flagged as EX Red List category</t>
  </si>
  <si>
    <t>Latin conservation phrase; recurring false positive</t>
  </si>
  <si>
    <t>C. pallidum</t>
  </si>
  <si>
    <t>#35380 — specimen accession number comma-formatted</t>
  </si>
  <si>
    <t>Herbarium/collection accession number; should be excluded</t>
  </si>
  <si>
    <t>7971 — journal article number in DOI string',</t>
  </si>
  <si>
    <t>Sci Rep 10(7971) article identifier; not a standalone number</t>
  </si>
  <si>
    <t>64668 — number within DOI URL</t>
  </si>
  <si>
    <t>Embedded in DOI path (s41598-020-64668-z); must never be modified</t>
  </si>
  <si>
    <t>D. fiebrigii</t>
  </si>
  <si>
    <t>#3349 — specimen accession number comma-formatted</t>
  </si>
  <si>
    <t>Accession numbers preceded by # should be excluded from comma-formatting rules</t>
  </si>
  <si>
    <t>2484 — page number flagged independently of range</t>
  </si>
  <si>
    <t>Individual page endpoint within a cited range (2484-2492) is not a standalone large number</t>
  </si>
  <si>
    <t>2492 — page number flagged independently of range</t>
  </si>
  <si>
    <t>Same as above; both endpoints triggered independently. Rule should exclude numbers within an NN-NN range pattern in bibliography context</t>
  </si>
  <si>
    <t>"ex situ" flagged as EX Red List category (×2)</t>
  </si>
  <si>
    <t>Latin conservation phrase misidentified as Extinct abbreviation; recurring false positive</t>
  </si>
  <si>
    <t>B. celebica</t>
  </si>
  <si>
    <t>"North Sulawesi" flagged for lowercase</t>
  </si>
  <si>
    <t>North Sulawesi is an official Indonesian province name — proper noun, correctly capitalised</t>
  </si>
  <si>
    <t>"Northern Sulawesi" flagged for lowercase</t>
  </si>
  <si>
    <t>Refers to the northern region of Sulawesi as a geographic descriptor; capitalisation is standard in species range descriptions</t>
  </si>
  <si>
    <t>#5287 — specimen accession number comma-formatted</t>
  </si>
  <si>
    <t>Herbarium accession numbers should be excluded from comma-formatting rules</t>
  </si>
  <si>
    <t>Latin conservation phrase misidentified as Extinct category abbreviation</t>
  </si>
  <si>
    <t>M. sartago-diaboli</t>
  </si>
  <si>
    <t>"Near Threatened" flagged — lowercase "Threatened"</t>
  </si>
  <si>
    <t>IUCNTermsChecker.check_threatened_case</t>
  </si>
  <si>
    <t>"Near Threatened" is a formal IUCN Red List category and must be capitalised; rule incorrectly targets it</t>
  </si>
  <si>
    <t>M. swartziana</t>
  </si>
  <si>
    <t>"1" flagged as sentence-start numeral (Threats)</t>
  </si>
  <si>
    <t>"up to c. 1,600 m asl" — matcher fires on "1" from "1,600" mid-sentence after c.; not a sentence start</t>
  </si>
  <si>
    <t>2484 — page number endpoint flagged independently</t>
  </si>
  <si>
    <t>Individual endpoint within cited range 2484-2492; not a standalone large number</t>
  </si>
  <si>
    <t>2492 — page number endpoint flagged independently</t>
  </si>
  <si>
    <t>Same as above</t>
  </si>
  <si>
    <t>D. prostrata</t>
  </si>
  <si>
    <t>"Near Threatened" is a formal IUCN Red List category — must be capitalised</t>
  </si>
  <si>
    <t>G. kabaenensis</t>
  </si>
  <si>
    <t>#4169 — specimen accession number comma-formatted</t>
  </si>
  <si>
    <t>Herbarium accession number (McDonald and Ismail #4169); should be excluded</t>
  </si>
  <si>
    <t>B. ellipsoidea</t>
  </si>
  <si>
    <t>"South Sulawesi" (×5) flagged for lowercase</t>
  </si>
  <si>
    <t>South Sulawesi (Sulawesi Selatan) is an official Indonesian province — proper noun</t>
  </si>
  <si>
    <t>"South East Sulawesi" (×4) flagged for lowercase</t>
  </si>
  <si>
    <t>South East Sulawesi (Sulawesi Tenggara) is an official Indonesian province — proper noun</t>
  </si>
  <si>
    <t>"East Luwu Regency" flagged for lowercase</t>
  </si>
  <si>
    <t>East Luwu (Luwu Timur) is an official Indonesian regency — proper noun</t>
  </si>
  <si>
    <t>"012014" — journal article number comma-formatted</t>
  </si>
  <si>
    <t>IOP Conf. Ser. 270:012014 is a journal article identifier, not a standalone number</t>
  </si>
  <si>
    <t>B. ornithocephala</t>
  </si>
  <si>
    <t>"ex" in "H.St.John ex B.C.Stone" — taxonomic author (×2)</t>
  </si>
  <si>
    <t>"ex" is a taxonomic authorship convention (name published by Stone based on John's work); not a Red List category</t>
  </si>
  <si>
    <t>"West Papua" (×2) flagged for lowercase</t>
  </si>
  <si>
    <t>West Papua is an official Indonesian province name</t>
  </si>
  <si>
    <t>"West Papua Province" flagged for lowercase</t>
  </si>
  <si>
    <t>Same province, explicit designation</t>
  </si>
  <si>
    <t>"South Sorong Regency" flagged for lowercase</t>
  </si>
  <si>
    <t>South Sorong (Sorong Selatan) is an official Indonesian regency</t>
  </si>
  <si>
    <t>"South Sorong" (×5) flagged for lowercase</t>
  </si>
  <si>
    <t>Same regency name across Assessment Rationale, Geographic Range, and Threats sections</t>
  </si>
  <si>
    <t>"Southern New Guinea Freshwater" flagged for lowercase</t>
  </si>
  <si>
    <t>Named WWF ecoregion (Southern New Guinea Freshwater Swamp Forests) — proper noun</t>
  </si>
  <si>
    <t>"&amp; Bogor" in publisher location (London &amp; Bogor)</t>
  </si>
  <si>
    <t>Ampersand joins publisher locations, not author names; rule over-applies to bibliographic place strings</t>
  </si>
  <si>
    <t>"&amp; the Solomon" in book title (Bismarck Archipelago &amp; the Solomon)</t>
  </si>
  <si>
    <t>Ampersand is part of the original book title, not an author-list connector</t>
  </si>
  <si>
    <t>B. pseudosyncarpa</t>
  </si>
  <si>
    <t>"vulnerable" (adjective) flagged as Red List category</t>
  </si>
  <si>
    <t>"potentially vulnerable to habitat loss" — adjective use, not the Red List category</t>
  </si>
  <si>
    <t>"Northern New Guinea Montane" flagged for lowercase</t>
  </si>
  <si>
    <t>Named WWF ecoregion (Northern New Guinea Montane Rain Forests) — proper noun</t>
  </si>
  <si>
    <t>B. permicron</t>
  </si>
  <si>
    <t>#BW 6867 — specimen accession number comma-formatted</t>
  </si>
  <si>
    <t>Herbarium accession number; should be excluded from comma-formatting</t>
  </si>
  <si>
    <t>"localities being vulnerable to future deforestation" — used as general adjective, not the Vulnerable category</t>
  </si>
  <si>
    <t>"&amp; Buerki" in journal article title (Callm. &amp; Buerki)</t>
  </si>
  <si>
    <t>Ampersand is part of the taxon name/article title being cited, not an author-list separator</t>
  </si>
  <si>
    <t>109225 — journal article number comma-formatted',</t>
  </si>
  <si>
    <t>Article identifier (Biol. Conservation 261:109225); not a standalone number</t>
  </si>
  <si>
    <t>H. dawei</t>
  </si>
  <si>
    <t>Latin conservation phrase; recurring false positive across both Conservation instances</t>
  </si>
  <si>
    <t>"50" flagged as sentence-start numeral</t>
  </si>
  <si>
    <t>"a c. 50 kilometre stretch" — numeral is mid-sentence after the abbreviation c. (circa); not a sentence start</t>
  </si>
  <si>
    <t>"2001" flagged as sentence-start numeral</t>
  </si>
  <si>
    <t>"et al. 2001)" — citation year following author list inside parentheses; not a sentence start</t>
  </si>
  <si>
    <t>H. fabiana</t>
  </si>
  <si>
    <t>"2019" flagged as sentence-start numeral</t>
  </si>
  <si>
    <t>"Cheek et al. 2019)" and "Couch et al. 2019)" — citation years inside parenthetical references; not sentence starts</t>
  </si>
  <si>
    <t>I. pucara</t>
  </si>
  <si>
    <t>"Pucara" flagged as scientific name (×3)</t>
  </si>
  <si>
    <t>Pucara is a place name (locality in Santa Cruz Department, Bolivia), not a species epithet; the species name is Ibatia pucara but "Pucara" in body text refers to the town</t>
  </si>
  <si>
    <t>J. chuquisacensis</t>
  </si>
  <si>
    <t>"ex" in unitalicised "ex situ" flagged as EX category</t>
  </si>
  <si>
    <t>The IUCNTermsChecker fires separately on the same text already correctly caught by AbbreviationChecker — duplicate flag on same token; fix is same (italicise), not to capitalise as EX</t>
  </si>
  <si>
    <t>C. axillare</t>
  </si>
  <si>
    <t>B. verruculosa</t>
  </si>
  <si>
    <t>"ex" in "Backer ex B.C.Stone" — taxonomic author (×2)</t>
  </si>
  <si>
    <t>Taxonomic authorship convention ("ex" = published by Stone based on Backer's work); not a Red List category</t>
  </si>
  <si>
    <t>"North Maluku" flagged for lowercase</t>
  </si>
  <si>
    <t>North Maluku (Maluku Utara) is an official Indonesian province — proper noun</t>
  </si>
  <si>
    <t>L. unguicularis</t>
  </si>
  <si>
    <t>C. lyratus</t>
  </si>
  <si>
    <t>"vulnerable" (adjective) ×3 flagged as Red List category</t>
  </si>
  <si>
    <t>All three instances use "vulnerable" as a general adjective ("particularly vulnerable to fires"), not the Red List category. The actual category (Vulnerable B2ab) is correctly capitalised in the same document.</t>
  </si>
  <si>
    <t>#6162 — specimen accession number comma-formatted</t>
  </si>
  <si>
    <t>Herbarium accession number (Letouzey #6162); should be excluded</t>
  </si>
  <si>
    <t>"Western Guinean Lowland Forests" flagged for lowercase</t>
  </si>
  <si>
    <t>Named WWF ecoregion — proper noun, correctly capitalised</t>
  </si>
  <si>
    <t>M. leucantha</t>
  </si>
  <si>
    <t>"2015" flagged as sentence-start numeral (metadata)</t>
  </si>
  <si>
    <t>"et al. 2015)" — citation year in parenthetical reference; not a sentence start</t>
  </si>
  <si>
    <t>"2018" flagged as sentence-start numeral (×2, Threats)</t>
  </si>
  <si>
    <t>Both instances are "et al. 2018)" — citation years in parenthetical references, not sentence starts</t>
  </si>
  <si>
    <t>C. guineense</t>
  </si>
  <si>
    <t>"vulnerable" (adjective) in Threats section</t>
  </si>
  <si>
    <t>IUCN Terms</t>
  </si>
  <si>
    <t>Used as general adjective ("very vulnerable to fires"); not the Red List Vulnerable category</t>
  </si>
  <si>
    <t>"Near Threatened" is a formal IUCN Red List category and must be capitalised; the rule incorrectly targets it</t>
  </si>
  <si>
    <t>"Northern Province" flagged for lowercase</t>
  </si>
  <si>
    <t>Northern Province is the official name of an administrative province in Sierra Leone — proper noun</t>
  </si>
  <si>
    <t>"North West Province" flagged for lowercase</t>
  </si>
  <si>
    <t>North West Province is the official name of a Sierra Leone province — proper noun</t>
  </si>
  <si>
    <t>#2672 — specimen accession number comma-formatted</t>
  </si>
  <si>
    <t>Herbarium/collection accession number; should be excluded from comma-formatting</t>
  </si>
  <si>
    <t>"2023" flagged as sentence-start numeral</t>
  </si>
  <si>
    <t>"pers. comm. 2023" — the year follows a citation close, mid-paragraph; it is not starting a sentence</t>
  </si>
  <si>
    <t>J. mandonii</t>
  </si>
  <si>
    <t>"South Andean Yungas" flagged for lowercase</t>
  </si>
  <si>
    <t>Named WWF ecoregion (South Andean Yungas) — proper noun, correctly capitalised</t>
  </si>
  <si>
    <t>"2005" flagged as sentence-start numeral</t>
  </si>
  <si>
    <t>"et al. 2005)" — citation year inside parenthetical reference; not a sentence start</t>
  </si>
  <si>
    <t>J. kessleri</t>
  </si>
  <si>
    <t>"pers. comm. 2023)" — citation year inside parenthetical reference; not a sentence start</t>
  </si>
  <si>
    <t>M. proctorii</t>
  </si>
  <si>
    <t>"ex" in "D.Don ex Naudin" — taxonomic authorship</t>
  </si>
  <si>
    <t>Taxonomic authorship convention: "ex" indicates the name was formally published by Naudin based on Don's work; not a Red List EX category</t>
  </si>
  <si>
    <t>L. strigosa</t>
  </si>
  <si>
    <t>"more vulnerable to stochastic events" — general adjective; not the Vulnerable Red List category</t>
  </si>
  <si>
    <t>Northern Province is the official administrative province of Sierra Leone — proper noun</t>
  </si>
  <si>
    <t>"2017" flagged as sentence-start numeral (Habitats)</t>
  </si>
  <si>
    <t>"et al. 2017)" — citation year in parenthetical reference; not a sentence start</t>
  </si>
  <si>
    <t>"2001" flagged as sentence-start numeral (Threats)</t>
  </si>
  <si>
    <t>"et al. 2001)" — same pattern; citation year inside parentheses</t>
  </si>
  <si>
    <t>L. adamsii</t>
  </si>
  <si>
    <t>Latin conservation phrase; recurring false positive. Note: unitalicised "ex situ" in the conservation table is a separate real formatting error not caught by this rule</t>
  </si>
  <si>
    <t>M. hirsuta</t>
  </si>
  <si>
    <t>"800" flagged as sentence-start numeral</t>
  </si>
  <si>
    <t>"up to c. 800 m asl" — numeral mid-sentence after c. (circa); not a sentence start</t>
  </si>
  <si>
    <t>J. pluriformis</t>
  </si>
  <si>
    <t>M. gloriosa</t>
  </si>
  <si>
    <t>"2018" flagged as sentence-start numeral (Threats)</t>
  </si>
  <si>
    <t>"et al. 2018)" — citation year in parenthetical reference; not a sentence start</t>
  </si>
  <si>
    <t>"2023" flagged as sentence-start numeral (Threats)</t>
  </si>
  <si>
    <t>"pers. comm. 2023)" — citation year in parenthetical reference; not a sentence start</t>
  </si>
  <si>
    <t>"&amp;" in journal title "Agriculture, Ecosystems &amp; Environment"</t>
  </si>
  <si>
    <t>Ampersand is part of the journal title, not an author-list separator — rule must exclude ampersands within italicised title spans</t>
  </si>
  <si>
    <t>L. saundersiana</t>
  </si>
  <si>
    <t>"800" flagged as sentence-start numeral (Geographic Range)</t>
  </si>
  <si>
    <t>"between c. 800 and 1,600 m" — numeral is mid-sentence after the Latin abbreviation c. (circa); not a sentence start</t>
  </si>
  <si>
    <t>"up to c. 1,600 m asl" — the checker is matching the "1" from "1,600"; again mid-sentence after c.; not a sentence start</t>
  </si>
  <si>
    <t>Individual page endpoint within cited range (2484-2492); not a standalone large number</t>
  </si>
  <si>
    <t>M. nubicola</t>
  </si>
  <si>
    <t>"up to c. 1,600 m asl" — checker matches "1" from "1,600" mid-sentence after c.; not a sentence start</t>
  </si>
  <si>
    <t>Both instances are "et al. 2018)" — citation years in parenthetical references; not sentence starts</t>
  </si>
  <si>
    <t>"2024" flagged as sentence-start numeral (Threats)</t>
  </si>
  <si>
    <t>"pers. comm. 2024)" — citation year in parenthetical reference; not a sentence start</t>
  </si>
  <si>
    <t>Latin conservation phrase; recurring false positive. Note: "ex situ *conservation" has italic anomaly in the doc — real formatting issue not caught by this rule</t>
  </si>
  <si>
    <t>M. crossosepala</t>
  </si>
  <si>
    <t>Both instances are "et al. 2018)" — citation years inside parenthetical references; not sentence starts</t>
  </si>
  <si>
    <t>Individual endpoint within cited range 2484–2492; not a standalone large number</t>
  </si>
  <si>
    <t>M. pyxidata</t>
  </si>
  <si>
    <t>"(&gt; c. 1,000 m asl)" — checker matches "1" from "1,000" mid-sentence after c.; not a sentence start</t>
  </si>
  <si>
    <t>Mi. leonensis</t>
  </si>
  <si>
    <t>#1565 — specimen accession number comma-formatted</t>
  </si>
  <si>
    <t>Herbarium accession number (van der Burgt #1565); should be excluded from comma-formatting rules</t>
  </si>
  <si>
    <t>Mu. rufa</t>
  </si>
  <si>
    <t>Latin conservation phrase; recurring false positive. This assessment has no genuine checker errors — 0 TP, 1 FP</t>
  </si>
  <si>
    <t>Pa. subcuneata</t>
  </si>
  <si>
    <t>1796 — historical collection year comma-formatted</t>
  </si>
  <si>
    <t>"Afzelius in 1796" — year of historical botanical collection; not a standalone large number requiring comma-formatting</t>
  </si>
  <si>
    <t>Latin conservation phrase; recurring false positive. Note: "ex situ *collections" has italic spacing anomaly</t>
  </si>
  <si>
    <t>M. augustgrisebachii</t>
  </si>
  <si>
    <t>"up to c. 800 m asl" — numeral mid-sentence after the Latin abbreviation c. (circa); not a sentence start</t>
  </si>
  <si>
    <t>M. hirtellicaulis</t>
  </si>
  <si>
    <t>"up to c. 800 m asl" — numeral mid-sentence after c.; not a sentence start</t>
  </si>
  <si>
    <t>My. almasensis</t>
  </si>
  <si>
    <t>#12390 — specimen accession number comma-formatted</t>
  </si>
  <si>
    <t>Herbarium accession number; should be excluded from comma-formatting rules</t>
  </si>
  <si>
    <t>"42" flagged as sentence-start numeral (Threats)</t>
  </si>
  <si>
    <t>"c. 42% of the total forest area" — numeral mid-sentence after c. (circa); not a sentence start. This boilerplate phrase appears across multiple Myrcia Atlantic Forest assessments</t>
  </si>
  <si>
    <t>1353 — page number endpoint flagged independently</t>
  </si>
  <si>
    <t>Individual endpoint within cited range 1353–1367; not a standalone large number</t>
  </si>
  <si>
    <t>1367 — page number endpoint flagged independently</t>
  </si>
  <si>
    <t>1141 — page number endpoint flagged (source already en-dashed)</t>
  </si>
  <si>
    <t>Source has 1141–1153 with correct en dash; checker still fires on each endpoint as a standalone number</t>
  </si>
  <si>
    <t>1153 — page number endpoint flagged (source already en-dashed)</t>
  </si>
  <si>
    <t>My. anomala</t>
  </si>
  <si>
    <t>#26895 — specimen accession number comma-formatted</t>
  </si>
  <si>
    <t>Herbarium accession number (Wood #26895); should be excluded</t>
  </si>
  <si>
    <t>#6323 — specimen accession number comma-formatted</t>
  </si>
  <si>
    <t>Herbarium accession number (Daly #6323); should be excluded</t>
  </si>
  <si>
    <t>#23918 — specimen accession number comma-formatted (×2)',</t>
  </si>
  <si>
    <t>Wood #23918 appears in both Habitats and Threats sections; both flagged</t>
  </si>
  <si>
    <t>"c. 42% of the total forest area" — mid-sentence after c.; not a sentence start</t>
  </si>
  <si>
    <t>"Natureza &amp; Conservação" — ampersand in journal title</t>
  </si>
  <si>
    <t>Ampersand is part of the journal title (Natureza &amp; Conservação); not an author-list separator</t>
  </si>
  <si>
    <t>1141 — page endpoint flagged (source already en-dashed)</t>
  </si>
  <si>
    <t>1141–1153 already has correct en dash in source; endpoint flagged as standalone number</t>
  </si>
  <si>
    <t>1153 — page endpoint flagged (source already en-dashed)</t>
  </si>
  <si>
    <t>My. atrorufa</t>
  </si>
  <si>
    <t>"1" flagged as sentence-start numeral (Geographic Range)</t>
  </si>
  <si>
    <t>"c. 1,900 m asl" — checker matches "1" from "1,900" mid-sentence after c.; not a sentence start</t>
  </si>
  <si>
    <t>My. bartlettii</t>
  </si>
  <si>
    <t>"Southern Mexico" flagged for lowercase</t>
  </si>
  <si>
    <t>"Southern Mexico" is used as a geographic descriptor for the region of Mexico, not a formal administrative division. However, this is a borderline case — IUCN guidelines suggest lowercase for descriptors. Assessed as FP given the rule has no context to distinguish; the suggested fix ("southern Mexico") may actually be the correct IUCN style</t>
  </si>
  <si>
    <t>"2020" flagged as sentence-start numeral (Habitats)</t>
  </si>
  <si>
    <t>"pers. comm. 2020)" — citation year in parenthetical reference; not a sentence start</t>
  </si>
  <si>
    <t>"2018" flagged as sentence-start numeral (Use and Trade)</t>
  </si>
  <si>
    <t>"2010" flagged as sentence-start numeral (Threats)</t>
  </si>
  <si>
    <t>"et al. 2010)" — citation year; not a sentence start</t>
  </si>
  <si>
    <t>"2017" flagged as sentence-start numeral (Threats)</t>
  </si>
  <si>
    <t>"et al. 2017)" — citation year; not a sentence start</t>
  </si>
  <si>
    <t>1767 — page endpoint flagged independently</t>
  </si>
  <si>
    <t>Individual endpoint within cited range 1767–1793; not a standalone large number</t>
  </si>
  <si>
    <t>1793 — page endpoint flagged independently</t>
  </si>
  <si>
    <t>My. crassa</t>
  </si>
  <si>
    <t>"c. 42% of the total forest area" — mid-sentence after c.; not a sentence start. Boilerplate Atlantic Forest phrase</t>
  </si>
  <si>
    <t>"2021" flagged as sentence-start numeral (Conservation)</t>
  </si>
  <si>
    <t>"pers. comm. 2021)" — citation year in parenthetical reference; not a sentence start</t>
  </si>
  <si>
    <t>1141–1153 has correct en dash in source; checker still fires on endpoint</t>
  </si>
  <si>
    <t>My. cuneifolia</t>
  </si>
  <si>
    <t>#1495 — specimen accession number comma-formatted</t>
  </si>
  <si>
    <t>Herbarium accession number (Brewer #1495); should be excluded</t>
  </si>
  <si>
    <t>My. eugenioides</t>
  </si>
  <si>
    <t>"c. 42% of the total forest area" — mid-sentence after c.; not a sentence start. Boilerplate phrase</t>
  </si>
  <si>
    <t>Ampersand is part of the journal title; not an author-list separator</t>
  </si>
  <si>
    <t>1141–1153 has correct en dash in source</t>
  </si>
  <si>
    <t>My. gaudichaudiana</t>
  </si>
  <si>
    <t>My. guarujana</t>
  </si>
  <si>
    <t>"Southern Atlantic mangroves" flagged for lowercase</t>
  </si>
  <si>
    <t>"Southern Atlantic mangroves" is a named WWF ecoregion — proper noun, correctly capitalised</t>
  </si>
  <si>
    <t>"c. 42% of the total forest area" — mid-sentence after c.; boilerplate Atlantic Forest phrase</t>
  </si>
  <si>
    <t>My. lignosa</t>
  </si>
  <si>
    <t>My. lilloi</t>
  </si>
  <si>
    <t>My. longicalyptrata</t>
  </si>
  <si>
    <t>"Ex situ" (capital E) flagged as EX category (Assessment Rationale)</t>
  </si>
  <si>
    <t>"Ex situ conservation measures" starts a sentence — capitalising the first word (Ex) is correct IUCN style; the checker incorrectly treats this as the Red List EX abbreviation</t>
  </si>
  <si>
    <t>"ex situ" flagged as EX category (Conservation, ×2)</t>
  </si>
  <si>
    <t>One instance is the recurring ex situ FP; the second "Ex situ" at sentence start is also correctly capitalised</t>
  </si>
  <si>
    <t>"1994" flagged as sentence-start numeral (Threats)</t>
  </si>
  <si>
    <t>"et al. 1994)" — citation year; not a sentence start</t>
  </si>
  <si>
    <t>"2015" flagged as sentence-start numeral (Threats)</t>
  </si>
  <si>
    <t>"et al. 2015)" — citation year; not a sentence start</t>
  </si>
  <si>
    <t>"2020" flagged as sentence-start numeral (Threats)</t>
  </si>
  <si>
    <t>"et al. 2020)" — citation year; not a sentence start</t>
  </si>
  <si>
    <t>8839 — page endpoint flagged independently</t>
  </si>
  <si>
    <t>Individual endpoint within cited range 8839–8844; not a standalone large number</t>
  </si>
  <si>
    <t>8844 — page endpoint flagged independently</t>
  </si>
  <si>
    <t>My. macucana</t>
  </si>
  <si>
    <t>"2002" flagged as sentence-start numeral (×2, Habitats + Threats)</t>
  </si>
  <si>
    <t>Both "et al. 2002)" instances — citation years in parenthetical references; not sentence starts</t>
  </si>
  <si>
    <t>"pers. comm. 2020)" — citation year; not a sentence start</t>
  </si>
  <si>
    <t>1141–1153 has correct en dash in source; endpoint still fired on</t>
  </si>
  <si>
    <t>2319 — page endpoint flagged (source already en-dashed)</t>
  </si>
  <si>
    <t>2319–2331 has correct en dash in source</t>
  </si>
  <si>
    <t>2331 — page endpoint flagged (source already en-dashed)</t>
  </si>
  <si>
    <t>My. maculata</t>
  </si>
  <si>
    <t>2335 — page endpoint flagged independently</t>
  </si>
  <si>
    <t>Individual endpoint within cited range 2335–2357; not a standalone large number</t>
  </si>
  <si>
    <t>2357 — page endpoint flagged independently</t>
  </si>
  <si>
    <t>3111 — page endpoint flagged (source already en-dashed)</t>
  </si>
  <si>
    <t>3111–3128 has correct en dash in source</t>
  </si>
  <si>
    <t>3128 — page endpoint flagged (source already en-dashed)</t>
  </si>
  <si>
    <t>My. maximiliana</t>
  </si>
  <si>
    <t>"23" flagged as sentence-start numeral (Threats)</t>
  </si>
  <si>
    <t>"c. 23 communities relying" — numeral mid-sentence after c. (circa); not a sentence start</t>
  </si>
  <si>
    <t>My. neoaequatoriensis</t>
  </si>
  <si>
    <t>"ex situ" flagged as EX Red List category (Assessment + Conservation ×3)</t>
  </si>
  <si>
    <t>All instances are the Latin conservation phrase; recurring false positive. Note: "* ex situ *" in rationale has an italic spacing anomaly — real formatting error not caught by this rule</t>
  </si>
  <si>
    <t>"2019" flagged as sentence-start numeral (Geographic Range)</t>
  </si>
  <si>
    <t>"et al. 2019)" — citation year in parenthetical reference; not a sentence start</t>
  </si>
  <si>
    <t>My. neomcvaughii</t>
  </si>
  <si>
    <t>"Ex situ conservation measures" starts a sentence — capitalising Ex is correct; checker incorrectly treats this as the EX abbreviation</t>
  </si>
  <si>
    <t>Lowercase instances are the recurring ex situ FP; the sentence-start "Ex situ" is also correct</t>
  </si>
  <si>
    <t>"2016" flagged as sentence-start numeral (Threats)</t>
  </si>
  <si>
    <t>"et al. 2016)" — citation year; not a sentence start</t>
  </si>
  <si>
    <t>My. neooreophila</t>
  </si>
  <si>
    <t>My. neosmithii</t>
  </si>
  <si>
    <t>"et al." flagged as non-italic (Plouvier et al. 2012 ×4)</t>
  </si>
  <si>
    <t>Source document shows *et al.* in italic for all four Plouvier instances; checker appears to misread the italic state — all four flags are false positives</t>
  </si>
  <si>
    <t>"2012" flagged as sentence-start numeral (×4, Threats)</t>
  </si>
  <si>
    <t>All four instances follow "et al. 2012)" — citation years in parenthetical references; not sentence starts</t>
  </si>
  <si>
    <t>My. oblongata</t>
  </si>
  <si>
    <t>1592 — journal article number flagged</t>
  </si>
  <si>
    <t>Check List 11(2):1592 — this is a journal article identifier, not a standalone large number</t>
  </si>
  <si>
    <t>1778 — taxonomic year in author citation (Degeer, 1778)',</t>
  </si>
  <si>
    <t>Year in taxonomic authorship citation; not a standalone large number</t>
  </si>
  <si>
    <t>1009 — page endpoint flagged independently</t>
  </si>
  <si>
    <t>Endpoint of cited range 996–1009; not a standalone number</t>
  </si>
  <si>
    <t>My. parvifolia</t>
  </si>
  <si>
    <t>"South East Ecuador" (×2) flagged for lowercase</t>
  </si>
  <si>
    <t>Geographic descriptor for south-eastern Ecuador (not an official administrative division); however per IUCN style lowercase may be correct — borderline case, similar to "Southern Mexico" in M. bartlettii</t>
  </si>
  <si>
    <t>"et al. 2019)" — citation year; not a sentence start</t>
  </si>
  <si>
    <t>"2011" flagged as sentence-start numeral (Use and Trade)</t>
  </si>
  <si>
    <t>"et al. 2011)" — citation year; not a sentence start</t>
  </si>
  <si>
    <t>"2002" flagged as sentence-start numeral (Threats)</t>
  </si>
  <si>
    <t>"et al. 2002)" — citation year; not a sentence start</t>
  </si>
  <si>
    <t>My. pleophlebia</t>
  </si>
  <si>
    <t>"2016" flagged as sentence-start numeral (×3, Threats)</t>
  </si>
  <si>
    <t>All three are "et al. 2016)" or "et al. 2016," — citation years in parenthetical references; not sentence starts</t>
  </si>
  <si>
    <t>My. pullei</t>
  </si>
  <si>
    <t>"ex" in "Burret ex Amshoff" — taxonomic authorship (×2)</t>
  </si>
  <si>
    <t>Taxonomic authorship convention; not a Red List EX category</t>
  </si>
  <si>
    <t>"Northern Amazonia" flagged for lowercase</t>
  </si>
  <si>
    <t>"Northern Amazonia" is a standard geographic descriptor used in the biogeographic literature; not an official administrative name, but capitalisation is conventional</t>
  </si>
  <si>
    <t>#2408 — specimen accession number comma-formatted</t>
  </si>
  <si>
    <t>Herbarium accession number (Gillespie #2408); should be excluded from comma-formatting</t>
  </si>
  <si>
    <t>Source document shows Plouvier *et al.* in italic for all four instances; same misread as in M. neosmithii — likely checker italic detection issue</t>
  </si>
  <si>
    <t>All four follow "et al. 2012)" — citation years in parenthetical references; not sentence starts</t>
  </si>
  <si>
    <t>My. reitzii</t>
  </si>
  <si>
    <t>"East Reserves" in "Atlantic Forest South-East Reserves"</t>
  </si>
  <si>
    <t>The Atlantic Forest South-East Reserves is a UNESCO World Heritage Site — proper noun; the checker only matches "East Reserves" and suggests lowercasing part of the name</t>
  </si>
  <si>
    <t>#8786 — specimen accession number comma-formatted</t>
  </si>
  <si>
    <t>Herbarium accession number (Reitz #8786); should be excluded</t>
  </si>
  <si>
    <t>My. pulvinata</t>
  </si>
  <si>
    <t>1000 — endpoint of population range flagged',</t>
  </si>
  <si>
    <t>Upper bound of "250-1000" mature individuals field; the range flag is a TP but the individual endpoint firing is a FP</t>
  </si>
  <si>
    <t>My. schottii</t>
  </si>
  <si>
    <t>"c. 42% of the total forest area" — mid-sentence after c.; boilerplate phrase</t>
  </si>
  <si>
    <t>My. rufotomentosa</t>
  </si>
  <si>
    <t>7083 — journal issue number comma-formatted',</t>
  </si>
  <si>
    <t>Nature 440(7083) — issue number inside parentheses after volume; not a standalone large number</t>
  </si>
  <si>
    <t>My. tridymantha</t>
  </si>
  <si>
    <t>"Ex situ" at sentence start flagged as EX (Assessment)</t>
  </si>
  <si>
    <t>"Ex situ conservation measures are strongly recommended" — correct sentence-start capitalisation; same FP pattern as M. longicalyptrata and M. neomcvaughii</t>
  </si>
  <si>
    <t>"ex situ" flagged as EX (Conservation)</t>
  </si>
  <si>
    <t>"Ex situ" at sentence start flagged as EX (Conservation)</t>
  </si>
  <si>
    <t>"Ex situ conservation" starts sentence after BGCI citation; correct capitalisation</t>
  </si>
  <si>
    <t>#5549 — specimen accession number comma-formatted</t>
  </si>
  <si>
    <t>Herbarium accession number (Krukoff #5549); should be excluded</t>
  </si>
  <si>
    <t>"2014" flagged as sentence-start numeral (Population)</t>
  </si>
  <si>
    <t>"et al. 2014)" — citation year; not a sentence start</t>
  </si>
  <si>
    <t>"2006" flagged as sentence-start numeral (Threats)</t>
  </si>
  <si>
    <t>"et al. 2006)" — citation year; not a sentence start</t>
  </si>
  <si>
    <t>Nature 440(7083) — issue number; not a standalone large number</t>
  </si>
  <si>
    <t>My. suberosa</t>
  </si>
  <si>
    <t>"42" flagged as sentence-start numeral (Threats, ×2)</t>
  </si>
  <si>
    <t>Both "c. 42%" instances — mid-sentence after c.; boilerplate Atlantic Forest phrase</t>
  </si>
  <si>
    <t>"2009" flagged as sentence-start numeral (Threats)</t>
  </si>
  <si>
    <t>"et al. 2009)" — citation year; not a sentence start</t>
  </si>
  <si>
    <t>Latin conservation phrase; recurring false positive. Note: "ex situ *collections" has italic spacing anomaly — real formatting issue not caught by this rule</t>
  </si>
  <si>
    <t>My. ubatubana</t>
  </si>
  <si>
    <t>My. tumidonodia</t>
  </si>
  <si>
    <t>"2021" flagged as sentence-start numeral (Population)</t>
  </si>
  <si>
    <t>"Threatened" in "Red List of Threatened Plants" title</t>
  </si>
  <si>
    <t>"List of Threatened Plants" is the full title of the 1997 IUCN publication — a proper noun; check_threatened_case incorrectly targets it</t>
  </si>
  <si>
    <t>"Ex situ conservation measures are recommended" — correct sentence-start capitalisation; same pattern as longicalyptrata/neomcvaughii/tridymantha</t>
  </si>
  <si>
    <t>My. verticillaris</t>
  </si>
  <si>
    <t>1592 — journal article number flagged',</t>
  </si>
  <si>
    <t>Check List 11(2):1592 — journal article identifier; same FP as M. oblongata</t>
  </si>
  <si>
    <t>1179 — page endpoint flagged (source already en-dashed)</t>
  </si>
  <si>
    <t>17(4):1179–1191 has correct en dash in source</t>
  </si>
  <si>
    <t>1191 — page endpoint flagged (source already en-dashed)</t>
  </si>
  <si>
    <t>My. unana</t>
  </si>
  <si>
    <t>#2916 — specimen accession number comma-formatted</t>
  </si>
  <si>
    <t>Herbarium accession number (Pirani #2916); should be excluded from comma-formatting</t>
  </si>
  <si>
    <t>"c. 23 communities relying" — mid-sentence after c.; not a sentence start</t>
  </si>
  <si>
    <t>1055 — page endpoint flagged independently</t>
  </si>
  <si>
    <t>Individual endpoint within cited range 1055–1077; not a standalone large number</t>
  </si>
  <si>
    <t>1077 — page endpoint flagged independently</t>
  </si>
  <si>
    <t>Ni. kawakamii</t>
  </si>
  <si>
    <t>"et al" flagged as non-italic (Jackson et al. + Severson et al.)</t>
  </si>
  <si>
    <t>Source shows both as *et al*. in italic; same checker italic detection issue as M. neosmithii/pullei</t>
  </si>
  <si>
    <t>2489 — page endpoint flagged independently</t>
  </si>
  <si>
    <t>Individual endpoint within cited range 2489–2506; not a standalone large number</t>
  </si>
  <si>
    <t>2506 — page endpoint flagged independently</t>
  </si>
  <si>
    <t>Pa. antaresensis</t>
  </si>
  <si>
    <t>"Northern New Guinea Lowland" flagged for lowercase</t>
  </si>
  <si>
    <t>Named WWF ecoregion (Northern New Guinea Lowland Rain And Freshwater Swamp Forests) — proper noun, correctly capitalised</t>
  </si>
  <si>
    <t>"For example" flagged — should be preceded by comma</t>
  </si>
  <si>
    <t>"food source. For example, the Wopkaimin" — "For example" opens a new sentence here (preceded by a period, not a comma); the rule incorrectly requires it to be preceded by a comma even at sentence start</t>
  </si>
  <si>
    <t>Biol. Conservation 261:109225 — journal article identifier; same FP as in Benstonea permicron</t>
  </si>
  <si>
    <t>Ni. cutleri</t>
  </si>
  <si>
    <t>Pa. beguinii</t>
  </si>
  <si>
    <t>Or. tropicale</t>
  </si>
  <si>
    <t>Latin conservation phrase; recurring false positive. Note: "ex situ *collections" has italic spacing anomaly — real formatting error not caught by this rule</t>
  </si>
  <si>
    <t>Pa. amaryllifolius</t>
  </si>
  <si>
    <t>"ex" in "Roxb. ex Lindl." — taxonomic authorship</t>
  </si>
  <si>
    <t>"Southern India" flagged for lowercase</t>
  </si>
  <si>
    <t>Geographic descriptor for the southern part of India; not an official administrative name. However per IUCN style, lowercase may be appropriate — borderline case</t>
  </si>
  <si>
    <t>1583 — page endpoint flagged (source already en-dashed)</t>
  </si>
  <si>
    <t>1583–1595 has correct en dash in source</t>
  </si>
  <si>
    <t>1595 — page endpoint flagged (source already en-dashed)</t>
  </si>
  <si>
    <t>Pa. beccarii</t>
  </si>
  <si>
    <t>"South East Sulawesi" (×2) flagged for lowercase</t>
  </si>
  <si>
    <t>"West Papua" flagged for lowercase</t>
  </si>
  <si>
    <t>West Papua is an official Indonesian province — proper noun</t>
  </si>
  <si>
    <t>"Southern New Guinea Lowland" flagged for lowercase</t>
  </si>
  <si>
    <t>#24639 — specimen accession number comma-formatted</t>
  </si>
  <si>
    <t>Herbarium accession number (Brass #24639); should be excluded</t>
  </si>
  <si>
    <t>"2008" flagged as sentence-start numeral (Geographic Range)</t>
  </si>
  <si>
    <t>"et al. 2008)" — citation year in parenthetical reference; not a sentence start</t>
  </si>
  <si>
    <t>Latin conservation phrase; recurring false positive. Note: "ex situ *collections" has italic spacing anomaly in this doc — real error not caught</t>
  </si>
  <si>
    <t>Pa. dolichopodus</t>
  </si>
  <si>
    <t>"Western Province" flagged for lowercase</t>
  </si>
  <si>
    <t>Western Province is an official PNG province — proper noun</t>
  </si>
  <si>
    <t>#26109 — specimen accession number comma-formatted</t>
  </si>
  <si>
    <t>Herbarium accession number (St. John #26109); should be excluded</t>
  </si>
  <si>
    <t>#13439 — specimen accession number comma-formatted</t>
  </si>
  <si>
    <t>Herbarium accession number (Brass #13439); should be excluded</t>
  </si>
  <si>
    <t>"make it vulnerable to future exploitation" — adjective use; not the Vulnerable Red List category</t>
  </si>
  <si>
    <t>Pa. brachyphyllus</t>
  </si>
  <si>
    <t>Pa. benstoneoides</t>
  </si>
  <si>
    <t>6488 — specimen accession number comma-formatted</t>
  </si>
  <si>
    <t>Herbarium/collection accession number (Philipson et al. 6488); should be excluded from comma-formatting</t>
  </si>
  <si>
    <t>Pa. sulawesicus</t>
  </si>
  <si>
    <t>Sentence starts with numeral "2005" — rephrase needed</t>
  </si>
  <si>
    <t>Year/number appears after closing parenthesis in citation context — not a sentence start</t>
  </si>
  <si>
    <t>"ex" — Red List category abbreviation should be capitalized</t>
  </si>
  <si>
    <t>Latin conservation phrase "ex situ"; recurring false positive — not the EX Red List category</t>
  </si>
  <si>
    <t>Pa. concavus</t>
  </si>
  <si>
    <t>Western Province is an official administrative province of Papua New Guinea — proper noun</t>
  </si>
  <si>
    <t>"Southern Highlands Province" flagged for lowercase</t>
  </si>
  <si>
    <t>Southern Highlands Province is an official PNG province — proper noun</t>
  </si>
  <si>
    <t>"vulnerable" (adjective) flagged as Red List category (×2)</t>
  </si>
  <si>
    <t>Both instances use "vulnerable" as a general adjective ("forests here are vulnerable to deforestation", "make it vulnerable to future exploitation"); not the Vulnerable Red List category</t>
  </si>
  <si>
    <t>Latin conservation phrase in Assessment Rationale and Conservation; recurring false positive</t>
  </si>
  <si>
    <t>Biol. Conservation 261:109225 — journal article identifier; same FP as in P. antaresensis and Benstonea permicron</t>
  </si>
  <si>
    <t>Pa. penicillus</t>
  </si>
  <si>
    <t>#12682 — accession number flagged (×2, metadata + geo range)</t>
  </si>
  <si>
    <t>Herbarium accession number (Kanehira and Hatusima #12682); flagged twice as it appears in both the document header and Geographic Range sections</t>
  </si>
  <si>
    <t>#12199 — accession number flagged (×2)',</t>
  </si>
  <si>
    <t>Herbarium accession number (Kanehira and Hatusima #12199); same dual-section FP</t>
  </si>
  <si>
    <t>#26110 — accession number flagged (×2)',</t>
  </si>
  <si>
    <t>Herbarium accession number (St John #26110); same dual-section FP</t>
  </si>
  <si>
    <t>#26177 — accession number flagged (×2)',</t>
  </si>
  <si>
    <t>Herbarium accession number (St John #26177); same dual-section FP</t>
  </si>
  <si>
    <t>"West Sepik" flagged for lowercase</t>
  </si>
  <si>
    <t>West Sepik (Sepik Barat) is an official province of Papua New Guinea — proper noun</t>
  </si>
  <si>
    <t>"Bismarck Archipelago &amp; the Solomon" in book title</t>
  </si>
  <si>
    <t>Ampersand is part of the original book title (Pandanus in New Guinea, the Bismarck Archipelago &amp; the Solomon Islands); not an author-list separator — same FP as in B. ornithocephala</t>
  </si>
  <si>
    <t>Pe. auriculatum</t>
  </si>
  <si>
    <t>Pa. lais</t>
  </si>
  <si>
    <t>Pa. galorei</t>
  </si>
  <si>
    <t>Official PNG province name — proper noun</t>
  </si>
  <si>
    <t>"are vulnerable either directly or indirectly from mining" and "make it vulnerable to future exploitation" — adjective uses, not the Red List category</t>
  </si>
  <si>
    <t>Ph. globiflora</t>
  </si>
  <si>
    <t>"1257" missing comma (Threats)</t>
  </si>
  <si>
    <t>Specimen accession number — comma formatting rule should not apply to voucher references</t>
  </si>
  <si>
    <t>"7971" missing comma (Bibliography)</t>
  </si>
  <si>
    <t>Number appears inside a DOI/URL — formatting rule should not apply</t>
  </si>
  <si>
    <t>"64668" missing comma (Bibliography)</t>
  </si>
  <si>
    <t>Pa. sarasinorum</t>
  </si>
  <si>
    <t>"3251" missing comma (Habitats and Ecology)</t>
  </si>
  <si>
    <t>"3251" missing comma (General Use and Trade Information)</t>
  </si>
  <si>
    <t>Pa. leiophyllus</t>
  </si>
  <si>
    <t>#7636 — specimen accession number comma-formatted</t>
  </si>
  <si>
    <t>Herbarium accession number (Brass #7636); should be excluded</t>
  </si>
  <si>
    <t>#8052 — specimen accession number comma-formatted</t>
  </si>
  <si>
    <t>Herbarium accession number (Brass #8052); should be excluded</t>
  </si>
  <si>
    <t>#28366 — specimen accession number comma-formatted</t>
  </si>
  <si>
    <t>Herbarium accession number (Brass #28366); should be excluded</t>
  </si>
  <si>
    <t>Sa. linderi</t>
  </si>
  <si>
    <t>"ex" in taxonomic authorship "Loes. ex Harms" — not the EX Red List category</t>
  </si>
  <si>
    <t>Sentence starts with numeral "2023" — rephrase needed</t>
  </si>
  <si>
    <t>Sa. serranoae</t>
  </si>
  <si>
    <t>"ex" — Red List category abbreviation should be capitalized: 'EX'</t>
  </si>
  <si>
    <t>Sa. sucrensis</t>
  </si>
  <si>
    <t>Ph. religiosa</t>
  </si>
  <si>
    <t>"17100" missing comma (Habitats and Ecology)</t>
  </si>
  <si>
    <t>Ps. minus</t>
  </si>
  <si>
    <t>Sentence starts with numeral "1" — rephrase needed</t>
  </si>
  <si>
    <t>Sa. cardenasii</t>
  </si>
  <si>
    <t>Ru. antiquorum</t>
  </si>
  <si>
    <t>"6029" missing comma (Population)</t>
  </si>
  <si>
    <t>St. leonense</t>
  </si>
  <si>
    <t>Te. guineensis</t>
  </si>
  <si>
    <t>Ti. dorisdaltoniae</t>
  </si>
  <si>
    <t>"6355" missing comma (Habitats and Ecology)</t>
  </si>
  <si>
    <t>Ti. helmutii</t>
  </si>
  <si>
    <t>"Gray" → "Grey" — UK spelling check (surname context)</t>
  </si>
  <si>
    <t>SpellingChecker.check_text</t>
  </si>
  <si>
    <t>"Gray-Molina" is a proper surname — UK/US spelling rule does not apply to personal names</t>
  </si>
  <si>
    <t>"1107" missing comma (Bibliography)</t>
  </si>
  <si>
    <t>Page number endpoint already captured by the en-dash range flag — duplicate flag</t>
  </si>
  <si>
    <t>"1164" missing comma (Bibliography)</t>
  </si>
  <si>
    <t>Tr. tenerium</t>
  </si>
  <si>
    <t>Ve. fer</t>
  </si>
  <si>
    <t>Ve. occidentalis</t>
  </si>
  <si>
    <t>"3659" missing comma (Geographic Range)</t>
  </si>
  <si>
    <t>Ti. recurvispica</t>
  </si>
  <si>
    <t>Ti. yuncharaensis</t>
  </si>
  <si>
    <t>Tr. cardenasiana</t>
  </si>
  <si>
    <t>To. gauntlettii</t>
  </si>
  <si>
    <t>False Positive Breakdown by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</si>
</sst>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1"/>
      <color rgb="FFFFFFFF"/>
      <name val="Arial"/>
      <family val="2"/>
    </font>
    <font>
      <b/>
      <sz val="10"/>
      <color rgb="FFFFFFFF"/>
      <name val="Arial"/>
      <family val="2"/>
    </font>
    <font>
      <sz val="10"/>
      <color rgb="FF1A1A1A"/>
      <name val="Arial"/>
      <family val="2"/>
    </font>
    <font>
      <b/>
      <sz val="13"/>
      <color rgb="FFFFFFFF"/>
      <name val="Arial"/>
      <family val="2"/>
    </font>
    <font>
      <sz val="10"/>
      <color rgb="FF000000"/>
      <name val="Arial"/>
      <family val="2"/>
    </font>
    <font>
      <b/>
      <sz val="10"/>
      <color rgb="FF1A1A1A"/>
      <name val="Arial"/>
      <family val="2"/>
    </font>
    <font>
      <i/>
      <sz val="10"/>
      <color rgb="FFC55A11"/>
      <name val="Arial"/>
      <family val="2"/>
    </font>
  </fonts>
  <fills count="18">
    <fill>
      <patternFill patternType="none"/>
    </fill>
    <fill>
      <patternFill patternType="gray125"/>
    </fill>
    <fill>
      <patternFill patternType="solid">
        <fgColor rgb="FF2E75B6"/>
        <bgColor rgb="FF0066CC"/>
      </patternFill>
    </fill>
    <fill>
      <patternFill patternType="solid">
        <fgColor rgb="FF1F4E79"/>
        <bgColor rgb="FF1F3864"/>
      </patternFill>
    </fill>
    <fill>
      <patternFill patternType="solid">
        <fgColor rgb="FFFFFFFF"/>
        <bgColor rgb="FFF2F2F2"/>
      </patternFill>
    </fill>
    <fill>
      <patternFill patternType="solid">
        <fgColor rgb="FFF2F2F2"/>
        <bgColor rgb="FFEBF3FB"/>
      </patternFill>
    </fill>
    <fill>
      <patternFill patternType="solid">
        <fgColor rgb="FFEBF3FB"/>
        <bgColor rgb="FFF2F2F2"/>
      </patternFill>
    </fill>
    <fill>
      <patternFill patternType="solid">
        <fgColor rgb="FF1F3864"/>
        <bgColor rgb="FF1F4E79"/>
      </patternFill>
    </fill>
    <fill>
      <patternFill patternType="solid">
        <fgColor rgb="FFD6E4F0"/>
        <bgColor rgb="FFDEEAF1"/>
      </patternFill>
    </fill>
    <fill>
      <patternFill patternType="solid">
        <fgColor rgb="FFFFEB9C"/>
        <bgColor rgb="FFFFE8D6"/>
      </patternFill>
    </fill>
    <fill>
      <patternFill patternType="solid">
        <fgColor rgb="FF7B2D00"/>
        <bgColor rgb="FF800000"/>
      </patternFill>
    </fill>
    <fill>
      <patternFill patternType="solid">
        <fgColor rgb="FFC00000"/>
        <bgColor rgb="FF800000"/>
      </patternFill>
    </fill>
    <fill>
      <patternFill patternType="solid">
        <fgColor rgb="FFFFE8D6"/>
        <bgColor rgb="FFFCE4D6"/>
      </patternFill>
    </fill>
    <fill>
      <patternFill patternType="solid">
        <fgColor rgb="FFC55A11"/>
        <bgColor rgb="FFC55A11"/>
      </patternFill>
    </fill>
    <fill>
      <patternFill patternType="solid">
        <fgColor rgb="FFFCE4D6"/>
        <bgColor rgb="FFFCE4D6"/>
      </patternFill>
    </fill>
    <fill>
      <patternFill patternType="solid">
        <fgColor rgb="FFED7D31"/>
        <bgColor rgb="FFED7D31"/>
      </patternFill>
    </fill>
    <fill>
      <patternFill patternType="solid">
        <fgColor rgb="FFFFFFFF"/>
        <bgColor rgb="FFFFFFFF"/>
      </patternFill>
    </fill>
    <fill>
      <patternFill patternType="solid">
        <fgColor rgb="FFFFF0E6"/>
        <bgColor rgb="FFFFF0E6"/>
      </patternFill>
    </fill>
  </fills>
  <borders count="6">
    <border>
      <left/>
      <right/>
      <top/>
      <bottom/>
      <diagonal/>
    </border>
    <border>
      <left style="thin">
        <color rgb="FFBDD7EE"/>
      </left>
      <right style="thin">
        <color rgb="FFBDD7EE"/>
      </right>
      <top style="thin">
        <color rgb="FFBDD7EE"/>
      </top>
      <bottom style="thin">
        <color rgb="FFBDD7EE"/>
      </bottom>
      <diagonal/>
    </border>
    <border>
      <left style="thin">
        <color rgb="FF8FAADC"/>
      </left>
      <right style="thin">
        <color rgb="FF8FAADC"/>
      </right>
      <top style="thin">
        <color rgb="FF8FAADC"/>
      </top>
      <bottom style="thin">
        <color rgb="FF8FAADC"/>
      </bottom>
      <diagonal/>
    </border>
    <border>
      <left style="thin">
        <color rgb="FF8FAADC"/>
      </left>
      <right/>
      <top style="thin">
        <color rgb="FF8FAADC"/>
      </top>
      <bottom style="thin">
        <color rgb="FF8FAADC"/>
      </bottom>
      <diagonal/>
    </border>
    <border>
      <left/>
      <right/>
      <top style="thin">
        <color rgb="FF8FAADC"/>
      </top>
      <bottom style="thin">
        <color rgb="FF8FAADC"/>
      </bottom>
      <diagonal/>
    </border>
    <border>
      <left style="thin">
        <color rgb="FFF4B183"/>
      </left>
      <right style="thin">
        <color rgb="FFF4B183"/>
      </right>
      <top style="thin">
        <color rgb="FFF4B183"/>
      </top>
      <bottom style="thin">
        <color rgb="FFF4B183"/>
      </bottom>
      <diagonal/>
    </border>
  </borders>
  <cellStyleXfs count="1">
    <xf numFmtId="0" fontId="0" fillId="0" borderId="0"/>
  </cellStyleXfs>
  <cellXfs count="51">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4" borderId="1" xfId="0" applyFont="1" applyFill="1" applyBorder="1" applyAlignment="1">
      <alignment horizontal="left" vertical="center" wrapText="1"/>
    </xf>
    <xf numFmtId="9" fontId="3" fillId="4" borderId="1" xfId="0" applyNumberFormat="1" applyFont="1" applyFill="1" applyBorder="1" applyAlignment="1">
      <alignment horizontal="center" vertical="center" wrapText="1"/>
    </xf>
    <xf numFmtId="0" fontId="5" fillId="5" borderId="0" xfId="0" applyFont="1" applyFill="1" applyAlignment="1">
      <alignment horizontal="left" vertical="center"/>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9" fontId="3" fillId="6" borderId="1" xfId="0" applyNumberFormat="1" applyFont="1" applyFill="1" applyBorder="1" applyAlignment="1">
      <alignment horizontal="center" vertical="center" wrapText="1"/>
    </xf>
    <xf numFmtId="0" fontId="5" fillId="4" borderId="0" xfId="0" applyFont="1" applyFill="1" applyAlignment="1">
      <alignment horizontal="left" vertical="center"/>
    </xf>
    <xf numFmtId="9" fontId="3" fillId="0" borderId="0" xfId="0" applyNumberFormat="1" applyFont="1" applyAlignment="1">
      <alignment horizontal="center" vertical="center" wrapText="1"/>
    </xf>
    <xf numFmtId="0" fontId="2" fillId="7" borderId="2" xfId="0" applyFont="1" applyFill="1" applyBorder="1" applyAlignment="1">
      <alignment horizontal="center" vertical="center" wrapText="1"/>
    </xf>
    <xf numFmtId="164" fontId="2" fillId="7" borderId="2" xfId="0" applyNumberFormat="1" applyFont="1" applyFill="1" applyBorder="1" applyAlignment="1">
      <alignment horizontal="center" vertical="center" wrapText="1"/>
    </xf>
    <xf numFmtId="9" fontId="2" fillId="7" borderId="2" xfId="0" applyNumberFormat="1" applyFont="1" applyFill="1" applyBorder="1" applyAlignment="1">
      <alignment horizontal="center" vertical="center" wrapText="1"/>
    </xf>
    <xf numFmtId="0" fontId="2" fillId="7" borderId="0" xfId="0" applyFont="1" applyFill="1" applyAlignment="1">
      <alignment horizontal="left" vertical="center"/>
    </xf>
    <xf numFmtId="0" fontId="2" fillId="2" borderId="0" xfId="0" applyFont="1" applyFill="1" applyAlignment="1">
      <alignment horizontal="center" vertical="center"/>
    </xf>
    <xf numFmtId="0" fontId="6"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164" fontId="6" fillId="8" borderId="1" xfId="0" applyNumberFormat="1" applyFont="1" applyFill="1" applyBorder="1" applyAlignment="1">
      <alignment horizontal="center" vertical="center" wrapText="1"/>
    </xf>
    <xf numFmtId="0" fontId="5" fillId="5" borderId="0" xfId="0" applyFont="1" applyFill="1" applyAlignment="1">
      <alignment horizontal="center" vertical="center"/>
    </xf>
    <xf numFmtId="0" fontId="6" fillId="4" borderId="1" xfId="0" applyFont="1" applyFill="1" applyBorder="1" applyAlignment="1">
      <alignment horizontal="left" vertical="center" wrapText="1"/>
    </xf>
    <xf numFmtId="0" fontId="5" fillId="4" borderId="0" xfId="0" applyFont="1" applyFill="1" applyAlignment="1">
      <alignment horizontal="center" vertical="center"/>
    </xf>
    <xf numFmtId="0" fontId="3" fillId="5" borderId="1" xfId="0" applyFont="1" applyFill="1" applyBorder="1" applyAlignment="1">
      <alignment horizontal="left" vertical="top" wrapText="1"/>
    </xf>
    <xf numFmtId="0" fontId="6" fillId="9" borderId="1" xfId="0"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1" fillId="10" borderId="0" xfId="0" applyFont="1" applyFill="1" applyAlignment="1">
      <alignment horizontal="center" vertical="center" wrapText="1"/>
    </xf>
    <xf numFmtId="0" fontId="2" fillId="11" borderId="1" xfId="0" applyFont="1" applyFill="1" applyBorder="1" applyAlignment="1">
      <alignment horizontal="center" vertical="center" wrapText="1"/>
    </xf>
    <xf numFmtId="0" fontId="3" fillId="12" borderId="1" xfId="0" applyFont="1" applyFill="1" applyBorder="1" applyAlignment="1">
      <alignment horizontal="left" vertical="top" wrapText="1"/>
    </xf>
    <xf numFmtId="0" fontId="3" fillId="12" borderId="1" xfId="0" applyFont="1" applyFill="1" applyBorder="1" applyAlignment="1">
      <alignment horizontal="center" vertical="center" wrapText="1"/>
    </xf>
    <xf numFmtId="0" fontId="2" fillId="15" borderId="5" xfId="0" applyFont="1" applyFill="1" applyBorder="1" applyAlignment="1">
      <alignment horizontal="center" vertical="center" wrapText="1"/>
    </xf>
    <xf numFmtId="0" fontId="3" fillId="16" borderId="5" xfId="0" applyFont="1" applyFill="1" applyBorder="1" applyAlignment="1">
      <alignment horizontal="left" vertical="top" wrapText="1"/>
    </xf>
    <xf numFmtId="0" fontId="3" fillId="16" borderId="5" xfId="0" applyFont="1" applyFill="1" applyBorder="1" applyAlignment="1">
      <alignment horizontal="center" vertical="center" wrapText="1"/>
    </xf>
    <xf numFmtId="0" fontId="3" fillId="17" borderId="5" xfId="0" applyFont="1" applyFill="1" applyBorder="1" applyAlignment="1">
      <alignment horizontal="left" vertical="top" wrapText="1"/>
    </xf>
    <xf numFmtId="0" fontId="3" fillId="17" borderId="5" xfId="0" applyFont="1" applyFill="1" applyBorder="1" applyAlignment="1">
      <alignment horizontal="center" vertical="center" wrapText="1"/>
    </xf>
    <xf numFmtId="0" fontId="6" fillId="16" borderId="5" xfId="0" applyFont="1" applyFill="1" applyBorder="1" applyAlignment="1">
      <alignment horizontal="center" vertical="center" wrapText="1"/>
    </xf>
    <xf numFmtId="164" fontId="3" fillId="16" borderId="5" xfId="0" applyNumberFormat="1" applyFont="1" applyFill="1" applyBorder="1" applyAlignment="1">
      <alignment horizontal="center" vertical="center" wrapText="1"/>
    </xf>
    <xf numFmtId="0" fontId="6" fillId="17" borderId="5" xfId="0" applyFont="1" applyFill="1" applyBorder="1" applyAlignment="1">
      <alignment horizontal="center" vertical="center" wrapText="1"/>
    </xf>
    <xf numFmtId="164" fontId="3" fillId="17" borderId="5" xfId="0" applyNumberFormat="1" applyFont="1" applyFill="1" applyBorder="1" applyAlignment="1">
      <alignment horizontal="center" vertical="center" wrapText="1"/>
    </xf>
    <xf numFmtId="0" fontId="7" fillId="14" borderId="0" xfId="0" applyFont="1" applyFill="1" applyAlignment="1">
      <alignment horizontal="left" vertical="center" wrapText="1"/>
    </xf>
    <xf numFmtId="0" fontId="0" fillId="0" borderId="0" xfId="0"/>
    <xf numFmtId="0" fontId="1" fillId="13" borderId="0" xfId="0" applyFont="1" applyFill="1" applyAlignment="1">
      <alignment horizontal="center" vertical="center" wrapText="1"/>
    </xf>
    <xf numFmtId="0" fontId="4" fillId="13" borderId="0" xfId="0" applyFont="1" applyFill="1" applyAlignment="1">
      <alignment horizontal="center" vertical="center" wrapText="1"/>
    </xf>
    <xf numFmtId="0" fontId="1" fillId="2" borderId="0" xfId="0" applyFont="1" applyFill="1" applyAlignment="1">
      <alignment horizontal="center" vertical="center" wrapText="1"/>
    </xf>
    <xf numFmtId="0" fontId="4" fillId="3" borderId="0" xfId="0" applyFont="1" applyFill="1" applyAlignment="1">
      <alignment horizontal="center" vertical="center" wrapText="1"/>
    </xf>
    <xf numFmtId="0" fontId="2" fillId="7" borderId="3" xfId="0" applyFont="1" applyFill="1" applyBorder="1" applyAlignment="1">
      <alignment horizontal="center" vertical="center" wrapText="1"/>
    </xf>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6E4F0"/>
      <rgbColor rgb="FF808080"/>
      <rgbColor rgb="FF8FAADC"/>
      <rgbColor rgb="FF993366"/>
      <rgbColor rgb="FFF2F2F2"/>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EEAF1"/>
      <rgbColor rgb="FFC6EFCE"/>
      <rgbColor rgb="FFFFEB9C"/>
      <rgbColor rgb="FFFCE4D6"/>
      <rgbColor rgb="FFF4B183"/>
      <rgbColor rgb="FFFFE8D6"/>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7B2D00"/>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showGridLines="0" tabSelected="1" zoomScaleNormal="100" workbookViewId="0">
      <pane ySplit="4" topLeftCell="A100" activePane="bottomLeft" state="frozen"/>
      <selection pane="bottomLeft" sqref="A1:H1"/>
    </sheetView>
  </sheetViews>
  <sheetFormatPr defaultColWidth="8.7109375" defaultRowHeight="15" x14ac:dyDescent="0.25"/>
  <cols>
    <col min="1" max="1" width="45" customWidth="1"/>
    <col min="2" max="3" width="20" customWidth="1"/>
    <col min="4" max="5" width="55" customWidth="1"/>
    <col min="6" max="7" width="16" customWidth="1"/>
    <col min="8" max="8" width="8" customWidth="1"/>
  </cols>
  <sheetData>
    <row r="1" spans="1:8" ht="31.5" customHeight="1" x14ac:dyDescent="0.25">
      <c r="A1" s="48" t="s">
        <v>0</v>
      </c>
      <c r="B1" s="44"/>
      <c r="C1" s="44"/>
      <c r="D1" s="44"/>
      <c r="E1" s="44"/>
      <c r="F1" s="44"/>
      <c r="G1" s="44"/>
      <c r="H1" s="44"/>
    </row>
    <row r="3" spans="1:8" ht="17.100000000000001" customHeight="1" x14ac:dyDescent="0.25">
      <c r="A3" s="47" t="s">
        <v>1</v>
      </c>
      <c r="B3" s="44"/>
      <c r="C3" s="44"/>
      <c r="D3" s="44"/>
      <c r="E3" s="44"/>
      <c r="F3" s="44"/>
      <c r="G3" s="44"/>
      <c r="H3" s="44"/>
    </row>
    <row r="4" spans="1:8" ht="24.95" customHeight="1" x14ac:dyDescent="0.25">
      <c r="A4" s="1" t="s">
        <v>2</v>
      </c>
      <c r="B4" s="1" t="s">
        <v>3</v>
      </c>
      <c r="C4" s="1" t="s">
        <v>4</v>
      </c>
      <c r="D4" s="1" t="s">
        <v>5</v>
      </c>
      <c r="E4" s="1" t="s">
        <v>6</v>
      </c>
      <c r="F4" s="1" t="s">
        <v>7</v>
      </c>
      <c r="G4" s="1" t="s">
        <v>8</v>
      </c>
      <c r="H4" s="5"/>
    </row>
    <row r="5" spans="1:8" ht="18" customHeight="1" x14ac:dyDescent="0.25">
      <c r="A5" s="6" t="s">
        <v>9</v>
      </c>
      <c r="B5" s="2">
        <v>10</v>
      </c>
      <c r="C5" s="2">
        <v>5</v>
      </c>
      <c r="D5" s="2">
        <v>0</v>
      </c>
      <c r="E5" s="2">
        <v>15</v>
      </c>
      <c r="F5" s="7">
        <f t="shared" ref="F5:F36" si="0">B5/(B5+C5)</f>
        <v>0.66666666666666663</v>
      </c>
      <c r="G5" s="7">
        <f t="shared" ref="G5:G36" si="1">IFERROR(B5/(B5+D5),0)</f>
        <v>1</v>
      </c>
      <c r="H5" s="8"/>
    </row>
    <row r="6" spans="1:8" ht="18" customHeight="1" x14ac:dyDescent="0.25">
      <c r="A6" s="9" t="s">
        <v>10</v>
      </c>
      <c r="B6" s="10">
        <v>2</v>
      </c>
      <c r="C6" s="10">
        <v>4</v>
      </c>
      <c r="D6" s="10">
        <v>0</v>
      </c>
      <c r="E6" s="10">
        <v>6</v>
      </c>
      <c r="F6" s="11">
        <f t="shared" si="0"/>
        <v>0.33333333333333331</v>
      </c>
      <c r="G6" s="11">
        <f t="shared" si="1"/>
        <v>1</v>
      </c>
      <c r="H6" s="12"/>
    </row>
    <row r="7" spans="1:8" ht="18" customHeight="1" x14ac:dyDescent="0.25">
      <c r="A7" s="6" t="s">
        <v>11</v>
      </c>
      <c r="B7" s="2">
        <v>3</v>
      </c>
      <c r="C7" s="2">
        <v>13</v>
      </c>
      <c r="D7" s="2">
        <v>0</v>
      </c>
      <c r="E7" s="2">
        <v>16</v>
      </c>
      <c r="F7" s="7">
        <f t="shared" si="0"/>
        <v>0.1875</v>
      </c>
      <c r="G7" s="7">
        <f t="shared" si="1"/>
        <v>1</v>
      </c>
      <c r="H7" s="8"/>
    </row>
    <row r="8" spans="1:8" ht="18" customHeight="1" x14ac:dyDescent="0.25">
      <c r="A8" s="9" t="s">
        <v>12</v>
      </c>
      <c r="B8" s="10">
        <v>1</v>
      </c>
      <c r="C8" s="10">
        <v>15</v>
      </c>
      <c r="D8" s="10">
        <v>0</v>
      </c>
      <c r="E8" s="10">
        <v>16</v>
      </c>
      <c r="F8" s="11">
        <f t="shared" si="0"/>
        <v>6.25E-2</v>
      </c>
      <c r="G8" s="11">
        <f t="shared" si="1"/>
        <v>1</v>
      </c>
      <c r="H8" s="12"/>
    </row>
    <row r="9" spans="1:8" ht="18" customHeight="1" x14ac:dyDescent="0.25">
      <c r="A9" s="6" t="s">
        <v>13</v>
      </c>
      <c r="B9" s="2">
        <v>5</v>
      </c>
      <c r="C9" s="2">
        <v>5</v>
      </c>
      <c r="D9" s="2">
        <v>0</v>
      </c>
      <c r="E9" s="2">
        <v>10</v>
      </c>
      <c r="F9" s="7">
        <f t="shared" si="0"/>
        <v>0.5</v>
      </c>
      <c r="G9" s="7">
        <f t="shared" si="1"/>
        <v>1</v>
      </c>
      <c r="H9" s="8"/>
    </row>
    <row r="10" spans="1:8" ht="18" customHeight="1" x14ac:dyDescent="0.25">
      <c r="A10" s="9" t="s">
        <v>14</v>
      </c>
      <c r="B10" s="10">
        <v>3</v>
      </c>
      <c r="C10" s="10">
        <v>3</v>
      </c>
      <c r="D10" s="10">
        <v>0</v>
      </c>
      <c r="E10" s="10">
        <v>6</v>
      </c>
      <c r="F10" s="11">
        <f t="shared" si="0"/>
        <v>0.5</v>
      </c>
      <c r="G10" s="11">
        <f t="shared" si="1"/>
        <v>1</v>
      </c>
      <c r="H10" s="12"/>
    </row>
    <row r="11" spans="1:8" ht="18" customHeight="1" x14ac:dyDescent="0.25">
      <c r="A11" s="6" t="s">
        <v>15</v>
      </c>
      <c r="B11" s="2">
        <v>1</v>
      </c>
      <c r="C11" s="2">
        <v>3</v>
      </c>
      <c r="D11" s="2">
        <v>0</v>
      </c>
      <c r="E11" s="2">
        <v>4</v>
      </c>
      <c r="F11" s="7">
        <f t="shared" si="0"/>
        <v>0.25</v>
      </c>
      <c r="G11" s="7">
        <f t="shared" si="1"/>
        <v>1</v>
      </c>
      <c r="H11" s="8"/>
    </row>
    <row r="12" spans="1:8" ht="18" customHeight="1" x14ac:dyDescent="0.25">
      <c r="A12" s="9" t="s">
        <v>16</v>
      </c>
      <c r="B12" s="10">
        <v>3</v>
      </c>
      <c r="C12" s="10">
        <v>4</v>
      </c>
      <c r="D12" s="10">
        <v>0</v>
      </c>
      <c r="E12" s="10">
        <v>7</v>
      </c>
      <c r="F12" s="11">
        <f t="shared" si="0"/>
        <v>0.42857142857142855</v>
      </c>
      <c r="G12" s="11">
        <f t="shared" si="1"/>
        <v>1</v>
      </c>
      <c r="H12" s="12"/>
    </row>
    <row r="13" spans="1:8" ht="18" customHeight="1" x14ac:dyDescent="0.25">
      <c r="A13" s="6" t="s">
        <v>17</v>
      </c>
      <c r="B13" s="2">
        <v>7</v>
      </c>
      <c r="C13" s="2">
        <v>1</v>
      </c>
      <c r="D13" s="2">
        <v>0</v>
      </c>
      <c r="E13" s="2">
        <v>8</v>
      </c>
      <c r="F13" s="7">
        <f t="shared" si="0"/>
        <v>0.875</v>
      </c>
      <c r="G13" s="7">
        <f t="shared" si="1"/>
        <v>1</v>
      </c>
      <c r="H13" s="8"/>
    </row>
    <row r="14" spans="1:8" ht="18" customHeight="1" x14ac:dyDescent="0.25">
      <c r="A14" s="9" t="s">
        <v>18</v>
      </c>
      <c r="B14" s="10">
        <v>8</v>
      </c>
      <c r="C14" s="10">
        <v>4</v>
      </c>
      <c r="D14" s="10">
        <v>0</v>
      </c>
      <c r="E14" s="10">
        <v>12</v>
      </c>
      <c r="F14" s="11">
        <f t="shared" si="0"/>
        <v>0.66666666666666663</v>
      </c>
      <c r="G14" s="11">
        <f t="shared" si="1"/>
        <v>1</v>
      </c>
      <c r="H14" s="12"/>
    </row>
    <row r="15" spans="1:8" ht="18" customHeight="1" x14ac:dyDescent="0.25">
      <c r="A15" s="6" t="s">
        <v>19</v>
      </c>
      <c r="B15" s="2">
        <v>2</v>
      </c>
      <c r="C15" s="2">
        <v>4</v>
      </c>
      <c r="D15" s="2">
        <v>0</v>
      </c>
      <c r="E15" s="2">
        <v>6</v>
      </c>
      <c r="F15" s="7">
        <f t="shared" si="0"/>
        <v>0.33333333333333331</v>
      </c>
      <c r="G15" s="7">
        <f t="shared" si="1"/>
        <v>1</v>
      </c>
      <c r="H15" s="8"/>
    </row>
    <row r="16" spans="1:8" ht="18" customHeight="1" x14ac:dyDescent="0.25">
      <c r="A16" s="9" t="s">
        <v>20</v>
      </c>
      <c r="B16" s="10">
        <v>4</v>
      </c>
      <c r="C16" s="10">
        <v>6</v>
      </c>
      <c r="D16" s="10">
        <v>0</v>
      </c>
      <c r="E16" s="10">
        <v>10</v>
      </c>
      <c r="F16" s="11">
        <f t="shared" si="0"/>
        <v>0.4</v>
      </c>
      <c r="G16" s="11">
        <f t="shared" si="1"/>
        <v>1</v>
      </c>
      <c r="H16" s="12"/>
    </row>
    <row r="17" spans="1:8" ht="18" customHeight="1" x14ac:dyDescent="0.25">
      <c r="A17" s="6" t="s">
        <v>21</v>
      </c>
      <c r="B17" s="2">
        <v>8</v>
      </c>
      <c r="C17" s="2">
        <v>1</v>
      </c>
      <c r="D17" s="2">
        <v>0</v>
      </c>
      <c r="E17" s="2">
        <v>9</v>
      </c>
      <c r="F17" s="7">
        <f t="shared" si="0"/>
        <v>0.88888888888888884</v>
      </c>
      <c r="G17" s="7">
        <f t="shared" si="1"/>
        <v>1</v>
      </c>
      <c r="H17" s="8"/>
    </row>
    <row r="18" spans="1:8" ht="18" customHeight="1" x14ac:dyDescent="0.25">
      <c r="A18" s="9" t="s">
        <v>22</v>
      </c>
      <c r="B18" s="10">
        <v>8</v>
      </c>
      <c r="C18" s="10">
        <v>2</v>
      </c>
      <c r="D18" s="10">
        <v>1</v>
      </c>
      <c r="E18" s="10">
        <v>10</v>
      </c>
      <c r="F18" s="11">
        <f t="shared" si="0"/>
        <v>0.8</v>
      </c>
      <c r="G18" s="11">
        <f t="shared" si="1"/>
        <v>0.88888888888888884</v>
      </c>
      <c r="H18" s="12"/>
    </row>
    <row r="19" spans="1:8" ht="18" customHeight="1" x14ac:dyDescent="0.25">
      <c r="A19" s="6" t="s">
        <v>23</v>
      </c>
      <c r="B19" s="2">
        <v>2</v>
      </c>
      <c r="C19" s="2">
        <v>2</v>
      </c>
      <c r="D19" s="2">
        <v>1</v>
      </c>
      <c r="E19" s="2">
        <v>4</v>
      </c>
      <c r="F19" s="7">
        <f t="shared" si="0"/>
        <v>0.5</v>
      </c>
      <c r="G19" s="7">
        <f t="shared" si="1"/>
        <v>0.66666666666666663</v>
      </c>
      <c r="H19" s="8"/>
    </row>
    <row r="20" spans="1:8" ht="18" customHeight="1" x14ac:dyDescent="0.25">
      <c r="A20" s="9" t="s">
        <v>24</v>
      </c>
      <c r="B20" s="10">
        <v>7</v>
      </c>
      <c r="C20" s="10">
        <v>3</v>
      </c>
      <c r="D20" s="10">
        <v>1</v>
      </c>
      <c r="E20" s="10">
        <v>10</v>
      </c>
      <c r="F20" s="11">
        <f t="shared" si="0"/>
        <v>0.7</v>
      </c>
      <c r="G20" s="11">
        <f t="shared" si="1"/>
        <v>0.875</v>
      </c>
      <c r="H20" s="12"/>
    </row>
    <row r="21" spans="1:8" ht="18" customHeight="1" x14ac:dyDescent="0.25">
      <c r="A21" s="6" t="s">
        <v>25</v>
      </c>
      <c r="B21" s="2">
        <v>2</v>
      </c>
      <c r="C21" s="2">
        <v>1</v>
      </c>
      <c r="D21" s="2">
        <v>0</v>
      </c>
      <c r="E21" s="2">
        <v>3</v>
      </c>
      <c r="F21" s="7">
        <f t="shared" si="0"/>
        <v>0.66666666666666663</v>
      </c>
      <c r="G21" s="7">
        <f t="shared" si="1"/>
        <v>1</v>
      </c>
      <c r="H21" s="8"/>
    </row>
    <row r="22" spans="1:8" ht="18" customHeight="1" x14ac:dyDescent="0.25">
      <c r="A22" s="9" t="s">
        <v>26</v>
      </c>
      <c r="B22" s="10">
        <v>4</v>
      </c>
      <c r="C22" s="10">
        <v>2</v>
      </c>
      <c r="D22" s="10">
        <v>0</v>
      </c>
      <c r="E22" s="10">
        <v>6</v>
      </c>
      <c r="F22" s="11">
        <f t="shared" si="0"/>
        <v>0.66666666666666663</v>
      </c>
      <c r="G22" s="11">
        <f t="shared" si="1"/>
        <v>1</v>
      </c>
      <c r="H22" s="12"/>
    </row>
    <row r="23" spans="1:8" ht="18" customHeight="1" x14ac:dyDescent="0.25">
      <c r="A23" s="6" t="s">
        <v>27</v>
      </c>
      <c r="B23" s="2">
        <v>6</v>
      </c>
      <c r="C23" s="2">
        <v>1</v>
      </c>
      <c r="D23" s="2">
        <v>0</v>
      </c>
      <c r="E23" s="2">
        <v>7</v>
      </c>
      <c r="F23" s="7">
        <f t="shared" si="0"/>
        <v>0.8571428571428571</v>
      </c>
      <c r="G23" s="7">
        <f t="shared" si="1"/>
        <v>1</v>
      </c>
      <c r="H23" s="8"/>
    </row>
    <row r="24" spans="1:8" ht="18" customHeight="1" x14ac:dyDescent="0.25">
      <c r="A24" s="9" t="s">
        <v>28</v>
      </c>
      <c r="B24" s="10">
        <v>5</v>
      </c>
      <c r="C24" s="10">
        <v>2</v>
      </c>
      <c r="D24" s="10">
        <v>0</v>
      </c>
      <c r="E24" s="10">
        <v>7</v>
      </c>
      <c r="F24" s="11">
        <f t="shared" si="0"/>
        <v>0.7142857142857143</v>
      </c>
      <c r="G24" s="11">
        <f t="shared" si="1"/>
        <v>1</v>
      </c>
      <c r="H24" s="12"/>
    </row>
    <row r="25" spans="1:8" ht="18" customHeight="1" x14ac:dyDescent="0.25">
      <c r="A25" s="6" t="s">
        <v>29</v>
      </c>
      <c r="B25" s="2">
        <v>7</v>
      </c>
      <c r="C25" s="2">
        <v>2</v>
      </c>
      <c r="D25" s="2">
        <v>0</v>
      </c>
      <c r="E25" s="2">
        <v>9</v>
      </c>
      <c r="F25" s="7">
        <f t="shared" si="0"/>
        <v>0.77777777777777779</v>
      </c>
      <c r="G25" s="7">
        <f t="shared" si="1"/>
        <v>1</v>
      </c>
      <c r="H25" s="8"/>
    </row>
    <row r="26" spans="1:8" ht="18" customHeight="1" x14ac:dyDescent="0.25">
      <c r="A26" s="9" t="s">
        <v>30</v>
      </c>
      <c r="B26" s="10">
        <v>7</v>
      </c>
      <c r="C26" s="10">
        <v>1</v>
      </c>
      <c r="D26" s="10">
        <v>0</v>
      </c>
      <c r="E26" s="10">
        <v>8</v>
      </c>
      <c r="F26" s="11">
        <f t="shared" si="0"/>
        <v>0.875</v>
      </c>
      <c r="G26" s="11">
        <f t="shared" si="1"/>
        <v>1</v>
      </c>
      <c r="H26" s="12"/>
    </row>
    <row r="27" spans="1:8" ht="18" customHeight="1" x14ac:dyDescent="0.25">
      <c r="A27" s="6" t="s">
        <v>31</v>
      </c>
      <c r="B27" s="2">
        <v>2</v>
      </c>
      <c r="C27" s="2">
        <v>1</v>
      </c>
      <c r="D27" s="2">
        <v>0</v>
      </c>
      <c r="E27" s="2">
        <v>3</v>
      </c>
      <c r="F27" s="7">
        <f t="shared" si="0"/>
        <v>0.66666666666666663</v>
      </c>
      <c r="G27" s="7">
        <f t="shared" si="1"/>
        <v>1</v>
      </c>
      <c r="H27" s="8"/>
    </row>
    <row r="28" spans="1:8" ht="18" customHeight="1" x14ac:dyDescent="0.25">
      <c r="A28" s="9" t="s">
        <v>32</v>
      </c>
      <c r="B28" s="10">
        <v>3</v>
      </c>
      <c r="C28" s="10">
        <v>1</v>
      </c>
      <c r="D28" s="10">
        <v>0</v>
      </c>
      <c r="E28" s="10">
        <v>4</v>
      </c>
      <c r="F28" s="11">
        <f t="shared" si="0"/>
        <v>0.75</v>
      </c>
      <c r="G28" s="11">
        <f t="shared" si="1"/>
        <v>1</v>
      </c>
      <c r="H28" s="12"/>
    </row>
    <row r="29" spans="1:8" ht="18" customHeight="1" x14ac:dyDescent="0.25">
      <c r="A29" s="6" t="s">
        <v>33</v>
      </c>
      <c r="B29" s="2">
        <v>9</v>
      </c>
      <c r="C29" s="2">
        <v>5</v>
      </c>
      <c r="D29" s="2">
        <v>1</v>
      </c>
      <c r="E29" s="2">
        <v>14</v>
      </c>
      <c r="F29" s="7">
        <f t="shared" si="0"/>
        <v>0.6428571428571429</v>
      </c>
      <c r="G29" s="7">
        <f t="shared" si="1"/>
        <v>0.9</v>
      </c>
      <c r="H29" s="8"/>
    </row>
    <row r="30" spans="1:8" ht="18" customHeight="1" x14ac:dyDescent="0.25">
      <c r="A30" s="9" t="s">
        <v>34</v>
      </c>
      <c r="B30" s="10">
        <v>3</v>
      </c>
      <c r="C30" s="10">
        <v>4</v>
      </c>
      <c r="D30" s="10">
        <v>0</v>
      </c>
      <c r="E30" s="10">
        <v>7</v>
      </c>
      <c r="F30" s="11">
        <f t="shared" si="0"/>
        <v>0.42857142857142855</v>
      </c>
      <c r="G30" s="11">
        <f t="shared" si="1"/>
        <v>1</v>
      </c>
      <c r="H30" s="12"/>
    </row>
    <row r="31" spans="1:8" ht="18" customHeight="1" x14ac:dyDescent="0.25">
      <c r="A31" s="6" t="s">
        <v>35</v>
      </c>
      <c r="B31" s="2">
        <v>10</v>
      </c>
      <c r="C31" s="2">
        <v>2</v>
      </c>
      <c r="D31" s="2">
        <v>0</v>
      </c>
      <c r="E31" s="2">
        <v>12</v>
      </c>
      <c r="F31" s="7">
        <f t="shared" si="0"/>
        <v>0.83333333333333337</v>
      </c>
      <c r="G31" s="7">
        <f t="shared" si="1"/>
        <v>1</v>
      </c>
      <c r="H31" s="8"/>
    </row>
    <row r="32" spans="1:8" ht="18" customHeight="1" x14ac:dyDescent="0.25">
      <c r="A32" s="9" t="s">
        <v>36</v>
      </c>
      <c r="B32" s="10">
        <v>5</v>
      </c>
      <c r="C32" s="10">
        <v>4</v>
      </c>
      <c r="D32" s="10">
        <v>0</v>
      </c>
      <c r="E32" s="10">
        <v>9</v>
      </c>
      <c r="F32" s="11">
        <f t="shared" si="0"/>
        <v>0.55555555555555558</v>
      </c>
      <c r="G32" s="11">
        <f t="shared" si="1"/>
        <v>1</v>
      </c>
      <c r="H32" s="12"/>
    </row>
    <row r="33" spans="1:8" ht="18" customHeight="1" x14ac:dyDescent="0.25">
      <c r="A33" s="6" t="s">
        <v>37</v>
      </c>
      <c r="B33" s="2">
        <v>6</v>
      </c>
      <c r="C33" s="2">
        <v>4</v>
      </c>
      <c r="D33" s="2">
        <v>2</v>
      </c>
      <c r="E33" s="2">
        <v>10</v>
      </c>
      <c r="F33" s="7">
        <f t="shared" si="0"/>
        <v>0.6</v>
      </c>
      <c r="G33" s="7">
        <f t="shared" si="1"/>
        <v>0.75</v>
      </c>
      <c r="H33" s="8"/>
    </row>
    <row r="34" spans="1:8" ht="18" customHeight="1" x14ac:dyDescent="0.25">
      <c r="A34" s="9" t="s">
        <v>38</v>
      </c>
      <c r="B34" s="10">
        <v>1</v>
      </c>
      <c r="C34" s="10">
        <v>2</v>
      </c>
      <c r="D34" s="10">
        <v>0</v>
      </c>
      <c r="E34" s="10">
        <v>3</v>
      </c>
      <c r="F34" s="11">
        <f t="shared" si="0"/>
        <v>0.33333333333333331</v>
      </c>
      <c r="G34" s="11">
        <f t="shared" si="1"/>
        <v>1</v>
      </c>
      <c r="H34" s="12"/>
    </row>
    <row r="35" spans="1:8" ht="18" customHeight="1" x14ac:dyDescent="0.25">
      <c r="A35" s="6" t="s">
        <v>39</v>
      </c>
      <c r="B35" s="2">
        <v>8</v>
      </c>
      <c r="C35" s="2">
        <v>4</v>
      </c>
      <c r="D35" s="2">
        <v>2</v>
      </c>
      <c r="E35" s="2">
        <v>12</v>
      </c>
      <c r="F35" s="7">
        <f t="shared" si="0"/>
        <v>0.66666666666666663</v>
      </c>
      <c r="G35" s="7">
        <f t="shared" si="1"/>
        <v>0.8</v>
      </c>
      <c r="H35" s="8"/>
    </row>
    <row r="36" spans="1:8" ht="18" customHeight="1" x14ac:dyDescent="0.25">
      <c r="A36" s="9" t="s">
        <v>40</v>
      </c>
      <c r="B36" s="10">
        <v>5</v>
      </c>
      <c r="C36" s="10">
        <v>4</v>
      </c>
      <c r="D36" s="10">
        <v>0</v>
      </c>
      <c r="E36" s="10">
        <v>9</v>
      </c>
      <c r="F36" s="11">
        <f t="shared" si="0"/>
        <v>0.55555555555555558</v>
      </c>
      <c r="G36" s="11">
        <f t="shared" si="1"/>
        <v>1</v>
      </c>
      <c r="H36" s="12"/>
    </row>
    <row r="37" spans="1:8" ht="18" customHeight="1" x14ac:dyDescent="0.25">
      <c r="A37" s="6" t="s">
        <v>41</v>
      </c>
      <c r="B37" s="2">
        <v>3</v>
      </c>
      <c r="C37" s="2">
        <v>2</v>
      </c>
      <c r="D37" s="2">
        <v>0</v>
      </c>
      <c r="E37" s="2">
        <v>5</v>
      </c>
      <c r="F37" s="7">
        <f t="shared" ref="F37:F68" si="2">B37/(B37+C37)</f>
        <v>0.6</v>
      </c>
      <c r="G37" s="7">
        <f t="shared" ref="G37:G68" si="3">IFERROR(B37/(B37+D37),0)</f>
        <v>1</v>
      </c>
      <c r="H37" s="8"/>
    </row>
    <row r="38" spans="1:8" ht="18" customHeight="1" x14ac:dyDescent="0.25">
      <c r="A38" s="9" t="s">
        <v>42</v>
      </c>
      <c r="B38" s="10">
        <v>4</v>
      </c>
      <c r="C38" s="10">
        <v>2</v>
      </c>
      <c r="D38" s="10">
        <v>0</v>
      </c>
      <c r="E38" s="10">
        <v>6</v>
      </c>
      <c r="F38" s="11">
        <f t="shared" si="2"/>
        <v>0.66666666666666663</v>
      </c>
      <c r="G38" s="11">
        <f t="shared" si="3"/>
        <v>1</v>
      </c>
      <c r="H38" s="12"/>
    </row>
    <row r="39" spans="1:8" ht="18" customHeight="1" x14ac:dyDescent="0.25">
      <c r="A39" s="6" t="s">
        <v>43</v>
      </c>
      <c r="B39" s="2">
        <v>6</v>
      </c>
      <c r="C39" s="2">
        <v>4</v>
      </c>
      <c r="D39" s="2">
        <v>0</v>
      </c>
      <c r="E39" s="2">
        <v>10</v>
      </c>
      <c r="F39" s="7">
        <f t="shared" si="2"/>
        <v>0.6</v>
      </c>
      <c r="G39" s="7">
        <f t="shared" si="3"/>
        <v>1</v>
      </c>
      <c r="H39" s="8"/>
    </row>
    <row r="40" spans="1:8" ht="18" customHeight="1" x14ac:dyDescent="0.25">
      <c r="A40" s="9" t="s">
        <v>44</v>
      </c>
      <c r="B40" s="10">
        <v>2</v>
      </c>
      <c r="C40" s="10">
        <v>2</v>
      </c>
      <c r="D40" s="10">
        <v>1</v>
      </c>
      <c r="E40" s="10">
        <v>4</v>
      </c>
      <c r="F40" s="11">
        <f t="shared" si="2"/>
        <v>0.5</v>
      </c>
      <c r="G40" s="11">
        <f t="shared" si="3"/>
        <v>0.66666666666666663</v>
      </c>
      <c r="H40" s="12"/>
    </row>
    <row r="41" spans="1:8" ht="18" customHeight="1" x14ac:dyDescent="0.25">
      <c r="A41" s="6" t="s">
        <v>45</v>
      </c>
      <c r="B41" s="2">
        <v>5</v>
      </c>
      <c r="C41" s="2">
        <v>2</v>
      </c>
      <c r="D41" s="2">
        <v>0</v>
      </c>
      <c r="E41" s="2">
        <v>7</v>
      </c>
      <c r="F41" s="7">
        <f t="shared" si="2"/>
        <v>0.7142857142857143</v>
      </c>
      <c r="G41" s="7">
        <f t="shared" si="3"/>
        <v>1</v>
      </c>
      <c r="H41" s="8"/>
    </row>
    <row r="42" spans="1:8" ht="18" customHeight="1" x14ac:dyDescent="0.25">
      <c r="A42" s="9" t="s">
        <v>46</v>
      </c>
      <c r="B42" s="10">
        <v>1</v>
      </c>
      <c r="C42" s="10">
        <v>3</v>
      </c>
      <c r="D42" s="10">
        <v>0</v>
      </c>
      <c r="E42" s="10">
        <v>4</v>
      </c>
      <c r="F42" s="11">
        <f t="shared" si="2"/>
        <v>0.25</v>
      </c>
      <c r="G42" s="11">
        <f t="shared" si="3"/>
        <v>1</v>
      </c>
      <c r="H42" s="12"/>
    </row>
    <row r="43" spans="1:8" ht="18" customHeight="1" x14ac:dyDescent="0.25">
      <c r="A43" s="6" t="s">
        <v>47</v>
      </c>
      <c r="B43" s="2">
        <v>0</v>
      </c>
      <c r="C43" s="2">
        <v>1</v>
      </c>
      <c r="D43" s="2">
        <v>0</v>
      </c>
      <c r="E43" s="2">
        <v>1</v>
      </c>
      <c r="F43" s="7">
        <f t="shared" si="2"/>
        <v>0</v>
      </c>
      <c r="G43" s="7">
        <f t="shared" si="3"/>
        <v>0</v>
      </c>
      <c r="H43" s="8"/>
    </row>
    <row r="44" spans="1:8" ht="18" customHeight="1" x14ac:dyDescent="0.25">
      <c r="A44" s="9" t="s">
        <v>48</v>
      </c>
      <c r="B44" s="10">
        <v>9</v>
      </c>
      <c r="C44" s="10">
        <v>7</v>
      </c>
      <c r="D44" s="10">
        <v>0</v>
      </c>
      <c r="E44" s="10">
        <v>16</v>
      </c>
      <c r="F44" s="11">
        <f t="shared" si="2"/>
        <v>0.5625</v>
      </c>
      <c r="G44" s="11">
        <f t="shared" si="3"/>
        <v>1</v>
      </c>
      <c r="H44" s="12"/>
    </row>
    <row r="45" spans="1:8" ht="18" customHeight="1" x14ac:dyDescent="0.25">
      <c r="A45" s="6" t="s">
        <v>49</v>
      </c>
      <c r="B45" s="2">
        <v>11</v>
      </c>
      <c r="C45" s="2">
        <v>8</v>
      </c>
      <c r="D45" s="2">
        <v>0</v>
      </c>
      <c r="E45" s="2">
        <v>19</v>
      </c>
      <c r="F45" s="7">
        <f t="shared" si="2"/>
        <v>0.57894736842105265</v>
      </c>
      <c r="G45" s="7">
        <f t="shared" si="3"/>
        <v>1</v>
      </c>
      <c r="H45" s="8"/>
    </row>
    <row r="46" spans="1:8" ht="18" customHeight="1" x14ac:dyDescent="0.25">
      <c r="A46" s="9" t="s">
        <v>50</v>
      </c>
      <c r="B46" s="10">
        <v>4</v>
      </c>
      <c r="C46" s="10">
        <v>2</v>
      </c>
      <c r="D46" s="10">
        <v>0</v>
      </c>
      <c r="E46" s="10">
        <v>6</v>
      </c>
      <c r="F46" s="11">
        <f t="shared" si="2"/>
        <v>0.66666666666666663</v>
      </c>
      <c r="G46" s="11">
        <f t="shared" si="3"/>
        <v>1</v>
      </c>
      <c r="H46" s="12"/>
    </row>
    <row r="47" spans="1:8" ht="18" customHeight="1" x14ac:dyDescent="0.25">
      <c r="A47" s="6" t="s">
        <v>51</v>
      </c>
      <c r="B47" s="2">
        <v>7</v>
      </c>
      <c r="C47" s="2">
        <v>8</v>
      </c>
      <c r="D47" s="2">
        <v>0</v>
      </c>
      <c r="E47" s="2">
        <v>15</v>
      </c>
      <c r="F47" s="7">
        <f t="shared" si="2"/>
        <v>0.46666666666666667</v>
      </c>
      <c r="G47" s="7">
        <f t="shared" si="3"/>
        <v>1</v>
      </c>
      <c r="H47" s="8"/>
    </row>
    <row r="48" spans="1:8" ht="18" customHeight="1" x14ac:dyDescent="0.25">
      <c r="A48" s="9" t="s">
        <v>52</v>
      </c>
      <c r="B48" s="10">
        <v>5</v>
      </c>
      <c r="C48" s="10">
        <v>5</v>
      </c>
      <c r="D48" s="10">
        <v>0</v>
      </c>
      <c r="E48" s="10">
        <v>10</v>
      </c>
      <c r="F48" s="11">
        <f t="shared" si="2"/>
        <v>0.5</v>
      </c>
      <c r="G48" s="11">
        <f t="shared" si="3"/>
        <v>1</v>
      </c>
      <c r="H48" s="12"/>
    </row>
    <row r="49" spans="1:8" ht="18" customHeight="1" x14ac:dyDescent="0.25">
      <c r="A49" s="6" t="s">
        <v>53</v>
      </c>
      <c r="B49" s="2">
        <v>5</v>
      </c>
      <c r="C49" s="2">
        <v>1</v>
      </c>
      <c r="D49" s="2">
        <v>0</v>
      </c>
      <c r="E49" s="2">
        <v>6</v>
      </c>
      <c r="F49" s="7">
        <f t="shared" si="2"/>
        <v>0.83333333333333337</v>
      </c>
      <c r="G49" s="7">
        <f t="shared" si="3"/>
        <v>1</v>
      </c>
      <c r="H49" s="8"/>
    </row>
    <row r="50" spans="1:8" ht="18" customHeight="1" x14ac:dyDescent="0.25">
      <c r="A50" s="9" t="s">
        <v>54</v>
      </c>
      <c r="B50" s="10">
        <v>8</v>
      </c>
      <c r="C50" s="10">
        <v>5</v>
      </c>
      <c r="D50" s="10">
        <v>0</v>
      </c>
      <c r="E50" s="10">
        <v>13</v>
      </c>
      <c r="F50" s="11">
        <f t="shared" si="2"/>
        <v>0.61538461538461542</v>
      </c>
      <c r="G50" s="11">
        <f t="shared" si="3"/>
        <v>1</v>
      </c>
      <c r="H50" s="12"/>
    </row>
    <row r="51" spans="1:8" ht="18" customHeight="1" x14ac:dyDescent="0.25">
      <c r="A51" s="6" t="s">
        <v>55</v>
      </c>
      <c r="B51" s="2">
        <v>8</v>
      </c>
      <c r="C51" s="2">
        <v>4</v>
      </c>
      <c r="D51" s="2">
        <v>0</v>
      </c>
      <c r="E51" s="2">
        <v>12</v>
      </c>
      <c r="F51" s="7">
        <f t="shared" si="2"/>
        <v>0.66666666666666663</v>
      </c>
      <c r="G51" s="7">
        <f t="shared" si="3"/>
        <v>1</v>
      </c>
      <c r="H51" s="8"/>
    </row>
    <row r="52" spans="1:8" ht="18" customHeight="1" x14ac:dyDescent="0.25">
      <c r="A52" s="9" t="s">
        <v>56</v>
      </c>
      <c r="B52" s="10">
        <v>7</v>
      </c>
      <c r="C52" s="10">
        <v>5</v>
      </c>
      <c r="D52" s="10">
        <v>0</v>
      </c>
      <c r="E52" s="10">
        <v>12</v>
      </c>
      <c r="F52" s="11">
        <f t="shared" si="2"/>
        <v>0.58333333333333337</v>
      </c>
      <c r="G52" s="11">
        <f t="shared" si="3"/>
        <v>1</v>
      </c>
      <c r="H52" s="12"/>
    </row>
    <row r="53" spans="1:8" ht="18" customHeight="1" x14ac:dyDescent="0.25">
      <c r="A53" s="6" t="s">
        <v>57</v>
      </c>
      <c r="B53" s="2">
        <v>4</v>
      </c>
      <c r="C53" s="2">
        <v>1</v>
      </c>
      <c r="D53" s="2">
        <v>0</v>
      </c>
      <c r="E53" s="2">
        <v>5</v>
      </c>
      <c r="F53" s="7">
        <f t="shared" si="2"/>
        <v>0.8</v>
      </c>
      <c r="G53" s="7">
        <f t="shared" si="3"/>
        <v>1</v>
      </c>
      <c r="H53" s="8"/>
    </row>
    <row r="54" spans="1:8" ht="18" customHeight="1" x14ac:dyDescent="0.25">
      <c r="A54" s="9" t="s">
        <v>58</v>
      </c>
      <c r="B54" s="10">
        <v>4</v>
      </c>
      <c r="C54" s="10">
        <v>2</v>
      </c>
      <c r="D54" s="10">
        <v>0</v>
      </c>
      <c r="E54" s="10">
        <v>6</v>
      </c>
      <c r="F54" s="11">
        <f t="shared" si="2"/>
        <v>0.66666666666666663</v>
      </c>
      <c r="G54" s="11">
        <f t="shared" si="3"/>
        <v>1</v>
      </c>
      <c r="H54" s="12"/>
    </row>
    <row r="55" spans="1:8" ht="18" customHeight="1" x14ac:dyDescent="0.25">
      <c r="A55" s="6" t="s">
        <v>59</v>
      </c>
      <c r="B55" s="2">
        <v>11</v>
      </c>
      <c r="C55" s="2">
        <v>8</v>
      </c>
      <c r="D55" s="2">
        <v>0</v>
      </c>
      <c r="E55" s="2">
        <v>19</v>
      </c>
      <c r="F55" s="7">
        <f t="shared" si="2"/>
        <v>0.57894736842105265</v>
      </c>
      <c r="G55" s="7">
        <f t="shared" si="3"/>
        <v>1</v>
      </c>
      <c r="H55" s="8"/>
    </row>
    <row r="56" spans="1:8" ht="18" customHeight="1" x14ac:dyDescent="0.25">
      <c r="A56" s="9" t="s">
        <v>60</v>
      </c>
      <c r="B56" s="10">
        <v>7</v>
      </c>
      <c r="C56" s="10">
        <v>7</v>
      </c>
      <c r="D56" s="10">
        <v>0</v>
      </c>
      <c r="E56" s="10">
        <v>14</v>
      </c>
      <c r="F56" s="11">
        <f t="shared" si="2"/>
        <v>0.5</v>
      </c>
      <c r="G56" s="11">
        <f t="shared" si="3"/>
        <v>1</v>
      </c>
      <c r="H56" s="12"/>
    </row>
    <row r="57" spans="1:8" ht="18" customHeight="1" x14ac:dyDescent="0.25">
      <c r="A57" s="6" t="s">
        <v>61</v>
      </c>
      <c r="B57" s="2">
        <v>5</v>
      </c>
      <c r="C57" s="2">
        <v>8</v>
      </c>
      <c r="D57" s="2">
        <v>0</v>
      </c>
      <c r="E57" s="2">
        <v>13</v>
      </c>
      <c r="F57" s="7">
        <f t="shared" si="2"/>
        <v>0.38461538461538464</v>
      </c>
      <c r="G57" s="7">
        <f t="shared" si="3"/>
        <v>1</v>
      </c>
      <c r="H57" s="8"/>
    </row>
    <row r="58" spans="1:8" ht="18" customHeight="1" x14ac:dyDescent="0.25">
      <c r="A58" s="9" t="s">
        <v>62</v>
      </c>
      <c r="B58" s="10">
        <v>6</v>
      </c>
      <c r="C58" s="10">
        <v>5</v>
      </c>
      <c r="D58" s="10">
        <v>0</v>
      </c>
      <c r="E58" s="10">
        <v>11</v>
      </c>
      <c r="F58" s="11">
        <f t="shared" si="2"/>
        <v>0.54545454545454541</v>
      </c>
      <c r="G58" s="11">
        <f t="shared" si="3"/>
        <v>1</v>
      </c>
      <c r="H58" s="12"/>
    </row>
    <row r="59" spans="1:8" ht="18" customHeight="1" x14ac:dyDescent="0.25">
      <c r="A59" s="6" t="s">
        <v>63</v>
      </c>
      <c r="B59" s="2">
        <v>1</v>
      </c>
      <c r="C59" s="2">
        <v>0</v>
      </c>
      <c r="D59" s="2">
        <v>0</v>
      </c>
      <c r="E59" s="2">
        <v>1</v>
      </c>
      <c r="F59" s="7">
        <f t="shared" si="2"/>
        <v>1</v>
      </c>
      <c r="G59" s="7">
        <f t="shared" si="3"/>
        <v>1</v>
      </c>
      <c r="H59" s="8"/>
    </row>
    <row r="60" spans="1:8" ht="18" customHeight="1" x14ac:dyDescent="0.25">
      <c r="A60" s="9" t="s">
        <v>64</v>
      </c>
      <c r="B60" s="10">
        <v>7</v>
      </c>
      <c r="C60" s="10">
        <v>3</v>
      </c>
      <c r="D60" s="10">
        <v>1</v>
      </c>
      <c r="E60" s="10">
        <v>10</v>
      </c>
      <c r="F60" s="11">
        <f t="shared" si="2"/>
        <v>0.7</v>
      </c>
      <c r="G60" s="11">
        <f t="shared" si="3"/>
        <v>0.875</v>
      </c>
      <c r="H60" s="12"/>
    </row>
    <row r="61" spans="1:8" ht="18" customHeight="1" x14ac:dyDescent="0.25">
      <c r="A61" s="6" t="s">
        <v>65</v>
      </c>
      <c r="B61" s="2">
        <v>8</v>
      </c>
      <c r="C61" s="2">
        <v>4</v>
      </c>
      <c r="D61" s="2">
        <v>0</v>
      </c>
      <c r="E61" s="2">
        <v>12</v>
      </c>
      <c r="F61" s="7">
        <f t="shared" si="2"/>
        <v>0.66666666666666663</v>
      </c>
      <c r="G61" s="7">
        <f t="shared" si="3"/>
        <v>1</v>
      </c>
      <c r="H61" s="8"/>
    </row>
    <row r="62" spans="1:8" ht="18" customHeight="1" x14ac:dyDescent="0.25">
      <c r="A62" s="9" t="s">
        <v>66</v>
      </c>
      <c r="B62" s="10">
        <v>3</v>
      </c>
      <c r="C62" s="10">
        <v>2</v>
      </c>
      <c r="D62" s="10">
        <v>0</v>
      </c>
      <c r="E62" s="10">
        <v>5</v>
      </c>
      <c r="F62" s="11">
        <f t="shared" si="2"/>
        <v>0.6</v>
      </c>
      <c r="G62" s="11">
        <f t="shared" si="3"/>
        <v>1</v>
      </c>
      <c r="H62" s="12"/>
    </row>
    <row r="63" spans="1:8" ht="18" customHeight="1" x14ac:dyDescent="0.25">
      <c r="A63" s="6" t="s">
        <v>67</v>
      </c>
      <c r="B63" s="2">
        <v>3</v>
      </c>
      <c r="C63" s="2">
        <v>6</v>
      </c>
      <c r="D63" s="2">
        <v>0</v>
      </c>
      <c r="E63" s="2">
        <v>9</v>
      </c>
      <c r="F63" s="7">
        <f t="shared" si="2"/>
        <v>0.33333333333333331</v>
      </c>
      <c r="G63" s="7">
        <f t="shared" si="3"/>
        <v>1</v>
      </c>
      <c r="H63" s="8"/>
    </row>
    <row r="64" spans="1:8" ht="18" customHeight="1" x14ac:dyDescent="0.25">
      <c r="A64" s="9" t="s">
        <v>68</v>
      </c>
      <c r="B64" s="10">
        <v>14</v>
      </c>
      <c r="C64" s="10">
        <v>8</v>
      </c>
      <c r="D64" s="10">
        <v>0</v>
      </c>
      <c r="E64" s="10">
        <v>22</v>
      </c>
      <c r="F64" s="11">
        <f t="shared" si="2"/>
        <v>0.63636363636363635</v>
      </c>
      <c r="G64" s="11">
        <f t="shared" si="3"/>
        <v>1</v>
      </c>
      <c r="H64" s="12"/>
    </row>
    <row r="65" spans="1:8" ht="18" customHeight="1" x14ac:dyDescent="0.25">
      <c r="A65" s="6" t="s">
        <v>69</v>
      </c>
      <c r="B65" s="2">
        <v>11</v>
      </c>
      <c r="C65" s="2">
        <v>6</v>
      </c>
      <c r="D65" s="2">
        <v>0</v>
      </c>
      <c r="E65" s="2">
        <v>17</v>
      </c>
      <c r="F65" s="7">
        <f t="shared" si="2"/>
        <v>0.6470588235294118</v>
      </c>
      <c r="G65" s="7">
        <f t="shared" si="3"/>
        <v>1</v>
      </c>
      <c r="H65" s="8"/>
    </row>
    <row r="66" spans="1:8" ht="18" customHeight="1" x14ac:dyDescent="0.25">
      <c r="A66" s="9" t="s">
        <v>70</v>
      </c>
      <c r="B66" s="10">
        <v>8</v>
      </c>
      <c r="C66" s="10">
        <v>3</v>
      </c>
      <c r="D66" s="10">
        <v>0</v>
      </c>
      <c r="E66" s="10">
        <v>11</v>
      </c>
      <c r="F66" s="11">
        <f t="shared" si="2"/>
        <v>0.72727272727272729</v>
      </c>
      <c r="G66" s="11">
        <f t="shared" si="3"/>
        <v>1</v>
      </c>
      <c r="H66" s="12"/>
    </row>
    <row r="67" spans="1:8" ht="18" customHeight="1" x14ac:dyDescent="0.25">
      <c r="A67" s="6" t="s">
        <v>71</v>
      </c>
      <c r="B67" s="2">
        <v>2</v>
      </c>
      <c r="C67" s="2">
        <v>6</v>
      </c>
      <c r="D67" s="2">
        <v>0</v>
      </c>
      <c r="E67" s="2">
        <v>8</v>
      </c>
      <c r="F67" s="7">
        <f t="shared" si="2"/>
        <v>0.25</v>
      </c>
      <c r="G67" s="7">
        <f t="shared" si="3"/>
        <v>1</v>
      </c>
      <c r="H67" s="8"/>
    </row>
    <row r="68" spans="1:8" ht="18" customHeight="1" x14ac:dyDescent="0.25">
      <c r="A68" s="9" t="s">
        <v>72</v>
      </c>
      <c r="B68" s="10">
        <v>5</v>
      </c>
      <c r="C68" s="10">
        <v>5</v>
      </c>
      <c r="D68" s="10">
        <v>0</v>
      </c>
      <c r="E68" s="10">
        <v>10</v>
      </c>
      <c r="F68" s="11">
        <f t="shared" si="2"/>
        <v>0.5</v>
      </c>
      <c r="G68" s="11">
        <f t="shared" si="3"/>
        <v>1</v>
      </c>
      <c r="H68" s="12"/>
    </row>
    <row r="69" spans="1:8" ht="18" customHeight="1" x14ac:dyDescent="0.25">
      <c r="A69" s="6" t="s">
        <v>73</v>
      </c>
      <c r="B69" s="2">
        <v>10</v>
      </c>
      <c r="C69" s="2">
        <v>6</v>
      </c>
      <c r="D69" s="2">
        <v>0</v>
      </c>
      <c r="E69" s="2">
        <v>16</v>
      </c>
      <c r="F69" s="7">
        <f t="shared" ref="F69:F95" si="4">B69/(B69+C69)</f>
        <v>0.625</v>
      </c>
      <c r="G69" s="7">
        <f t="shared" ref="G69:G95" si="5">IFERROR(B69/(B69+D69),0)</f>
        <v>1</v>
      </c>
      <c r="H69" s="8"/>
    </row>
    <row r="70" spans="1:8" ht="18" customHeight="1" x14ac:dyDescent="0.25">
      <c r="A70" s="9" t="s">
        <v>74</v>
      </c>
      <c r="B70" s="10">
        <v>5</v>
      </c>
      <c r="C70" s="10">
        <v>3</v>
      </c>
      <c r="D70" s="10">
        <v>0</v>
      </c>
      <c r="E70" s="10">
        <v>8</v>
      </c>
      <c r="F70" s="11">
        <f t="shared" si="4"/>
        <v>0.625</v>
      </c>
      <c r="G70" s="11">
        <f t="shared" si="5"/>
        <v>1</v>
      </c>
      <c r="H70" s="12"/>
    </row>
    <row r="71" spans="1:8" ht="18" customHeight="1" x14ac:dyDescent="0.25">
      <c r="A71" s="6" t="s">
        <v>75</v>
      </c>
      <c r="B71" s="2">
        <v>8</v>
      </c>
      <c r="C71" s="2">
        <v>4</v>
      </c>
      <c r="D71" s="2">
        <v>0</v>
      </c>
      <c r="E71" s="2">
        <v>12</v>
      </c>
      <c r="F71" s="7">
        <f t="shared" si="4"/>
        <v>0.66666666666666663</v>
      </c>
      <c r="G71" s="7">
        <f t="shared" si="5"/>
        <v>1</v>
      </c>
      <c r="H71" s="8"/>
    </row>
    <row r="72" spans="1:8" ht="18" customHeight="1" x14ac:dyDescent="0.25">
      <c r="A72" s="9" t="s">
        <v>76</v>
      </c>
      <c r="B72" s="10">
        <v>7</v>
      </c>
      <c r="C72" s="10">
        <v>5</v>
      </c>
      <c r="D72" s="10">
        <v>1</v>
      </c>
      <c r="E72" s="10">
        <v>12</v>
      </c>
      <c r="F72" s="11">
        <f t="shared" si="4"/>
        <v>0.58333333333333337</v>
      </c>
      <c r="G72" s="11">
        <f t="shared" si="5"/>
        <v>0.875</v>
      </c>
      <c r="H72" s="12"/>
    </row>
    <row r="73" spans="1:8" ht="18" customHeight="1" x14ac:dyDescent="0.25">
      <c r="A73" s="6" t="s">
        <v>77</v>
      </c>
      <c r="B73" s="2">
        <v>7</v>
      </c>
      <c r="C73" s="2">
        <v>8</v>
      </c>
      <c r="D73" s="2">
        <v>0</v>
      </c>
      <c r="E73" s="2">
        <v>15</v>
      </c>
      <c r="F73" s="7">
        <f t="shared" si="4"/>
        <v>0.46666666666666667</v>
      </c>
      <c r="G73" s="7">
        <f t="shared" si="5"/>
        <v>1</v>
      </c>
      <c r="H73" s="8"/>
    </row>
    <row r="74" spans="1:8" ht="18" customHeight="1" x14ac:dyDescent="0.25">
      <c r="A74" s="9" t="s">
        <v>78</v>
      </c>
      <c r="B74" s="10">
        <v>6</v>
      </c>
      <c r="C74" s="10">
        <v>6</v>
      </c>
      <c r="D74" s="10">
        <v>0</v>
      </c>
      <c r="E74" s="10">
        <v>12</v>
      </c>
      <c r="F74" s="11">
        <f t="shared" si="4"/>
        <v>0.5</v>
      </c>
      <c r="G74" s="11">
        <f t="shared" si="5"/>
        <v>1</v>
      </c>
      <c r="H74" s="12"/>
    </row>
    <row r="75" spans="1:8" ht="18" customHeight="1" x14ac:dyDescent="0.25">
      <c r="A75" s="6" t="s">
        <v>79</v>
      </c>
      <c r="B75" s="2">
        <v>5</v>
      </c>
      <c r="C75" s="2">
        <v>4</v>
      </c>
      <c r="D75" s="2">
        <v>0</v>
      </c>
      <c r="E75" s="2">
        <v>9</v>
      </c>
      <c r="F75" s="7">
        <f t="shared" si="4"/>
        <v>0.55555555555555558</v>
      </c>
      <c r="G75" s="7">
        <f t="shared" si="5"/>
        <v>1</v>
      </c>
      <c r="H75" s="8"/>
    </row>
    <row r="76" spans="1:8" ht="18" customHeight="1" x14ac:dyDescent="0.25">
      <c r="A76" s="9" t="s">
        <v>80</v>
      </c>
      <c r="B76" s="10">
        <v>7</v>
      </c>
      <c r="C76" s="10">
        <v>8</v>
      </c>
      <c r="D76" s="10">
        <v>0</v>
      </c>
      <c r="E76" s="10">
        <v>15</v>
      </c>
      <c r="F76" s="11">
        <f t="shared" si="4"/>
        <v>0.46666666666666667</v>
      </c>
      <c r="G76" s="11">
        <f t="shared" si="5"/>
        <v>1</v>
      </c>
      <c r="H76" s="12"/>
    </row>
    <row r="77" spans="1:8" ht="18" customHeight="1" x14ac:dyDescent="0.25">
      <c r="A77" s="6" t="s">
        <v>81</v>
      </c>
      <c r="B77" s="2">
        <v>6</v>
      </c>
      <c r="C77" s="2">
        <v>8</v>
      </c>
      <c r="D77" s="2">
        <v>0</v>
      </c>
      <c r="E77" s="2">
        <v>14</v>
      </c>
      <c r="F77" s="7">
        <f t="shared" si="4"/>
        <v>0.42857142857142855</v>
      </c>
      <c r="G77" s="7">
        <f t="shared" si="5"/>
        <v>1</v>
      </c>
      <c r="H77" s="8"/>
    </row>
    <row r="78" spans="1:8" ht="18" customHeight="1" x14ac:dyDescent="0.25">
      <c r="A78" s="9" t="s">
        <v>82</v>
      </c>
      <c r="B78" s="10">
        <v>7</v>
      </c>
      <c r="C78" s="10">
        <v>1</v>
      </c>
      <c r="D78" s="10">
        <v>0</v>
      </c>
      <c r="E78" s="10">
        <v>8</v>
      </c>
      <c r="F78" s="11">
        <f t="shared" si="4"/>
        <v>0.875</v>
      </c>
      <c r="G78" s="11">
        <f t="shared" si="5"/>
        <v>1</v>
      </c>
      <c r="H78" s="12"/>
    </row>
    <row r="79" spans="1:8" ht="18" customHeight="1" x14ac:dyDescent="0.25">
      <c r="A79" s="6" t="s">
        <v>83</v>
      </c>
      <c r="B79" s="2">
        <v>7</v>
      </c>
      <c r="C79" s="2">
        <v>4</v>
      </c>
      <c r="D79" s="2">
        <v>0</v>
      </c>
      <c r="E79" s="2">
        <v>11</v>
      </c>
      <c r="F79" s="7">
        <f t="shared" si="4"/>
        <v>0.63636363636363635</v>
      </c>
      <c r="G79" s="7">
        <f t="shared" si="5"/>
        <v>1</v>
      </c>
      <c r="H79" s="8"/>
    </row>
    <row r="80" spans="1:8" ht="18" customHeight="1" x14ac:dyDescent="0.25">
      <c r="A80" s="9" t="s">
        <v>84</v>
      </c>
      <c r="B80" s="10">
        <v>0</v>
      </c>
      <c r="C80" s="10">
        <v>1</v>
      </c>
      <c r="D80" s="10">
        <v>1</v>
      </c>
      <c r="E80" s="10">
        <v>1</v>
      </c>
      <c r="F80" s="11">
        <f t="shared" si="4"/>
        <v>0</v>
      </c>
      <c r="G80" s="11">
        <f t="shared" si="5"/>
        <v>0</v>
      </c>
      <c r="H80" s="12"/>
    </row>
    <row r="81" spans="1:8" ht="18" customHeight="1" x14ac:dyDescent="0.25">
      <c r="A81" s="6" t="s">
        <v>85</v>
      </c>
      <c r="B81" s="2">
        <v>1</v>
      </c>
      <c r="C81" s="2">
        <v>2</v>
      </c>
      <c r="D81" s="2">
        <v>1</v>
      </c>
      <c r="E81" s="2">
        <v>3</v>
      </c>
      <c r="F81" s="7">
        <f t="shared" si="4"/>
        <v>0.33333333333333331</v>
      </c>
      <c r="G81" s="7">
        <f t="shared" si="5"/>
        <v>0.5</v>
      </c>
      <c r="H81" s="8"/>
    </row>
    <row r="82" spans="1:8" ht="18" customHeight="1" x14ac:dyDescent="0.25">
      <c r="A82" s="9" t="s">
        <v>86</v>
      </c>
      <c r="B82" s="10">
        <v>2</v>
      </c>
      <c r="C82" s="10">
        <v>5</v>
      </c>
      <c r="D82" s="10">
        <v>0</v>
      </c>
      <c r="E82" s="10">
        <v>7</v>
      </c>
      <c r="F82" s="11">
        <f t="shared" si="4"/>
        <v>0.2857142857142857</v>
      </c>
      <c r="G82" s="11">
        <f t="shared" si="5"/>
        <v>1</v>
      </c>
      <c r="H82" s="12"/>
    </row>
    <row r="83" spans="1:8" ht="18" customHeight="1" x14ac:dyDescent="0.25">
      <c r="A83" s="6" t="s">
        <v>87</v>
      </c>
      <c r="B83" s="2">
        <v>5</v>
      </c>
      <c r="C83" s="2">
        <v>4</v>
      </c>
      <c r="D83" s="2">
        <v>0</v>
      </c>
      <c r="E83" s="2">
        <v>9</v>
      </c>
      <c r="F83" s="7">
        <f t="shared" si="4"/>
        <v>0.55555555555555558</v>
      </c>
      <c r="G83" s="7">
        <f t="shared" si="5"/>
        <v>1</v>
      </c>
      <c r="H83" s="8"/>
    </row>
    <row r="84" spans="1:8" ht="18" customHeight="1" x14ac:dyDescent="0.25">
      <c r="A84" s="9" t="s">
        <v>88</v>
      </c>
      <c r="B84" s="10">
        <v>6</v>
      </c>
      <c r="C84" s="10">
        <v>8</v>
      </c>
      <c r="D84" s="10">
        <v>0</v>
      </c>
      <c r="E84" s="10">
        <v>14</v>
      </c>
      <c r="F84" s="11">
        <f t="shared" si="4"/>
        <v>0.42857142857142855</v>
      </c>
      <c r="G84" s="11">
        <f t="shared" si="5"/>
        <v>1</v>
      </c>
      <c r="H84" s="12"/>
    </row>
    <row r="85" spans="1:8" ht="18" customHeight="1" x14ac:dyDescent="0.25">
      <c r="A85" s="6" t="s">
        <v>89</v>
      </c>
      <c r="B85" s="2">
        <v>2</v>
      </c>
      <c r="C85" s="2">
        <v>2</v>
      </c>
      <c r="D85" s="2">
        <v>0</v>
      </c>
      <c r="E85" s="2">
        <v>4</v>
      </c>
      <c r="F85" s="7">
        <f t="shared" si="4"/>
        <v>0.5</v>
      </c>
      <c r="G85" s="7">
        <f t="shared" si="5"/>
        <v>1</v>
      </c>
      <c r="H85" s="8"/>
    </row>
    <row r="86" spans="1:8" ht="18" customHeight="1" x14ac:dyDescent="0.25">
      <c r="A86" s="9" t="s">
        <v>90</v>
      </c>
      <c r="B86" s="10">
        <v>5</v>
      </c>
      <c r="C86" s="10">
        <v>2</v>
      </c>
      <c r="D86" s="10">
        <v>0</v>
      </c>
      <c r="E86" s="10">
        <v>7</v>
      </c>
      <c r="F86" s="11">
        <f t="shared" si="4"/>
        <v>0.7142857142857143</v>
      </c>
      <c r="G86" s="11">
        <f t="shared" si="5"/>
        <v>1</v>
      </c>
      <c r="H86" s="12"/>
    </row>
    <row r="87" spans="1:8" ht="18" customHeight="1" x14ac:dyDescent="0.25">
      <c r="A87" s="6" t="s">
        <v>91</v>
      </c>
      <c r="B87" s="2">
        <v>1</v>
      </c>
      <c r="C87" s="2">
        <v>1</v>
      </c>
      <c r="D87" s="2">
        <v>0</v>
      </c>
      <c r="E87" s="2">
        <v>2</v>
      </c>
      <c r="F87" s="7">
        <f t="shared" si="4"/>
        <v>0.5</v>
      </c>
      <c r="G87" s="7">
        <f t="shared" si="5"/>
        <v>1</v>
      </c>
      <c r="H87" s="8"/>
    </row>
    <row r="88" spans="1:8" ht="18" customHeight="1" x14ac:dyDescent="0.25">
      <c r="A88" s="9" t="s">
        <v>92</v>
      </c>
      <c r="B88" s="10">
        <v>5</v>
      </c>
      <c r="C88" s="10">
        <v>5</v>
      </c>
      <c r="D88" s="10">
        <v>0</v>
      </c>
      <c r="E88" s="10">
        <v>10</v>
      </c>
      <c r="F88" s="11">
        <f t="shared" si="4"/>
        <v>0.5</v>
      </c>
      <c r="G88" s="11">
        <f t="shared" si="5"/>
        <v>1</v>
      </c>
      <c r="H88" s="12"/>
    </row>
    <row r="89" spans="1:8" ht="18" customHeight="1" x14ac:dyDescent="0.25">
      <c r="A89" s="6" t="s">
        <v>93</v>
      </c>
      <c r="B89" s="2">
        <v>2</v>
      </c>
      <c r="C89" s="2">
        <v>7</v>
      </c>
      <c r="D89" s="2">
        <v>0</v>
      </c>
      <c r="E89" s="2">
        <v>9</v>
      </c>
      <c r="F89" s="7">
        <f t="shared" si="4"/>
        <v>0.22222222222222221</v>
      </c>
      <c r="G89" s="7">
        <f t="shared" si="5"/>
        <v>1</v>
      </c>
      <c r="H89" s="8"/>
    </row>
    <row r="90" spans="1:8" ht="18" customHeight="1" x14ac:dyDescent="0.25">
      <c r="A90" s="9" t="s">
        <v>94</v>
      </c>
      <c r="B90" s="10">
        <v>5</v>
      </c>
      <c r="C90" s="10">
        <v>3</v>
      </c>
      <c r="D90" s="10">
        <v>0</v>
      </c>
      <c r="E90" s="10">
        <v>8</v>
      </c>
      <c r="F90" s="11">
        <f t="shared" si="4"/>
        <v>0.625</v>
      </c>
      <c r="G90" s="11">
        <f t="shared" si="5"/>
        <v>1</v>
      </c>
      <c r="H90" s="12"/>
    </row>
    <row r="91" spans="1:8" ht="18" customHeight="1" x14ac:dyDescent="0.25">
      <c r="A91" s="6" t="s">
        <v>95</v>
      </c>
      <c r="B91" s="2">
        <v>3</v>
      </c>
      <c r="C91" s="2">
        <v>1</v>
      </c>
      <c r="D91" s="2">
        <v>0</v>
      </c>
      <c r="E91" s="2">
        <v>4</v>
      </c>
      <c r="F91" s="7">
        <f t="shared" si="4"/>
        <v>0.75</v>
      </c>
      <c r="G91" s="7">
        <f t="shared" si="5"/>
        <v>1</v>
      </c>
      <c r="H91" s="8"/>
    </row>
    <row r="92" spans="1:8" ht="18" customHeight="1" x14ac:dyDescent="0.25">
      <c r="A92" s="9" t="s">
        <v>96</v>
      </c>
      <c r="B92" s="10">
        <v>3</v>
      </c>
      <c r="C92" s="10">
        <v>6</v>
      </c>
      <c r="D92" s="10">
        <v>0</v>
      </c>
      <c r="E92" s="10">
        <v>9</v>
      </c>
      <c r="F92" s="11">
        <f t="shared" si="4"/>
        <v>0.33333333333333331</v>
      </c>
      <c r="G92" s="11">
        <f t="shared" si="5"/>
        <v>1</v>
      </c>
      <c r="H92" s="12"/>
    </row>
    <row r="93" spans="1:8" ht="18" customHeight="1" x14ac:dyDescent="0.25">
      <c r="A93" s="6" t="s">
        <v>97</v>
      </c>
      <c r="B93" s="2">
        <v>3</v>
      </c>
      <c r="C93" s="2">
        <v>9</v>
      </c>
      <c r="D93" s="2">
        <v>0</v>
      </c>
      <c r="E93" s="2">
        <v>12</v>
      </c>
      <c r="F93" s="7">
        <f t="shared" si="4"/>
        <v>0.25</v>
      </c>
      <c r="G93" s="7">
        <f t="shared" si="5"/>
        <v>1</v>
      </c>
      <c r="H93" s="8"/>
    </row>
    <row r="94" spans="1:8" ht="18" customHeight="1" x14ac:dyDescent="0.25">
      <c r="A94" s="9" t="s">
        <v>98</v>
      </c>
      <c r="B94" s="10">
        <v>7</v>
      </c>
      <c r="C94" s="10">
        <v>3</v>
      </c>
      <c r="D94" s="10">
        <v>0</v>
      </c>
      <c r="E94" s="10">
        <v>10</v>
      </c>
      <c r="F94" s="13">
        <f t="shared" si="4"/>
        <v>0.7</v>
      </c>
      <c r="G94" s="11">
        <f t="shared" si="5"/>
        <v>1</v>
      </c>
    </row>
    <row r="95" spans="1:8" ht="18" customHeight="1" x14ac:dyDescent="0.25">
      <c r="A95" s="6" t="s">
        <v>99</v>
      </c>
      <c r="B95" s="2">
        <v>3</v>
      </c>
      <c r="C95" s="2">
        <v>2</v>
      </c>
      <c r="D95" s="2">
        <v>0</v>
      </c>
      <c r="E95" s="2">
        <v>5</v>
      </c>
      <c r="F95" s="13">
        <f t="shared" si="4"/>
        <v>0.6</v>
      </c>
      <c r="G95" s="7">
        <f t="shared" si="5"/>
        <v>1</v>
      </c>
    </row>
    <row r="96" spans="1:8" ht="18" customHeight="1" x14ac:dyDescent="0.25">
      <c r="A96" s="6" t="s">
        <v>100</v>
      </c>
      <c r="B96" s="2">
        <v>8</v>
      </c>
      <c r="C96" s="2">
        <v>4</v>
      </c>
      <c r="D96" s="2">
        <v>0</v>
      </c>
      <c r="E96" s="2">
        <v>12</v>
      </c>
      <c r="F96" s="13">
        <f t="shared" ref="F96:F102" si="6">B96/(B96+C96)</f>
        <v>0.66666666666666663</v>
      </c>
      <c r="G96" s="7">
        <f t="shared" ref="G96:G102" si="7">IFERROR(B96/(B96+D96),0)</f>
        <v>1</v>
      </c>
    </row>
    <row r="97" spans="1:7" ht="18" customHeight="1" x14ac:dyDescent="0.25">
      <c r="A97" s="9" t="s">
        <v>101</v>
      </c>
      <c r="B97" s="10">
        <v>6</v>
      </c>
      <c r="C97" s="10">
        <v>4</v>
      </c>
      <c r="D97" s="10">
        <v>0</v>
      </c>
      <c r="E97" s="10">
        <v>10</v>
      </c>
      <c r="F97" s="13">
        <f t="shared" si="6"/>
        <v>0.6</v>
      </c>
      <c r="G97" s="11">
        <f t="shared" si="7"/>
        <v>1</v>
      </c>
    </row>
    <row r="98" spans="1:7" ht="18" customHeight="1" x14ac:dyDescent="0.25">
      <c r="A98" s="6" t="s">
        <v>102</v>
      </c>
      <c r="B98" s="2">
        <v>9</v>
      </c>
      <c r="C98" s="2">
        <v>3</v>
      </c>
      <c r="D98" s="2">
        <v>0</v>
      </c>
      <c r="E98" s="2">
        <v>12</v>
      </c>
      <c r="F98" s="13">
        <f t="shared" si="6"/>
        <v>0.75</v>
      </c>
      <c r="G98" s="7">
        <f t="shared" si="7"/>
        <v>1</v>
      </c>
    </row>
    <row r="99" spans="1:7" ht="18" customHeight="1" x14ac:dyDescent="0.25">
      <c r="A99" s="9" t="s">
        <v>103</v>
      </c>
      <c r="B99" s="10">
        <v>7</v>
      </c>
      <c r="C99" s="10">
        <v>5</v>
      </c>
      <c r="D99" s="10">
        <v>0</v>
      </c>
      <c r="E99" s="10">
        <v>12</v>
      </c>
      <c r="F99" s="13">
        <f t="shared" si="6"/>
        <v>0.58333333333333337</v>
      </c>
      <c r="G99" s="11">
        <f t="shared" si="7"/>
        <v>1</v>
      </c>
    </row>
    <row r="100" spans="1:7" ht="18" customHeight="1" x14ac:dyDescent="0.25">
      <c r="A100" s="6" t="s">
        <v>104</v>
      </c>
      <c r="B100" s="2">
        <v>12</v>
      </c>
      <c r="C100" s="2">
        <v>4</v>
      </c>
      <c r="D100" s="2">
        <v>0</v>
      </c>
      <c r="E100" s="2">
        <v>16</v>
      </c>
      <c r="F100" s="13">
        <f t="shared" si="6"/>
        <v>0.75</v>
      </c>
      <c r="G100" s="7">
        <f t="shared" si="7"/>
        <v>1</v>
      </c>
    </row>
    <row r="101" spans="1:7" ht="18" customHeight="1" x14ac:dyDescent="0.25">
      <c r="A101" s="9" t="s">
        <v>105</v>
      </c>
      <c r="B101" s="10">
        <v>8</v>
      </c>
      <c r="C101" s="10">
        <v>1</v>
      </c>
      <c r="D101" s="10">
        <v>0</v>
      </c>
      <c r="E101" s="10">
        <v>9</v>
      </c>
      <c r="F101" s="13">
        <f t="shared" si="6"/>
        <v>0.88888888888888884</v>
      </c>
      <c r="G101" s="11">
        <f t="shared" si="7"/>
        <v>1</v>
      </c>
    </row>
    <row r="102" spans="1:7" ht="18" customHeight="1" x14ac:dyDescent="0.25">
      <c r="A102" s="6" t="s">
        <v>106</v>
      </c>
      <c r="B102" s="2">
        <v>9</v>
      </c>
      <c r="C102" s="2">
        <v>2</v>
      </c>
      <c r="D102" s="2">
        <v>0</v>
      </c>
      <c r="E102" s="2">
        <v>11</v>
      </c>
      <c r="F102" s="13">
        <f t="shared" si="6"/>
        <v>0.81818181818181823</v>
      </c>
      <c r="G102" s="7">
        <f t="shared" si="7"/>
        <v>1</v>
      </c>
    </row>
    <row r="103" spans="1:7" ht="18" customHeight="1" x14ac:dyDescent="0.25">
      <c r="A103" s="6" t="s">
        <v>107</v>
      </c>
      <c r="B103" s="2">
        <v>2</v>
      </c>
      <c r="C103" s="2">
        <v>1</v>
      </c>
      <c r="D103" s="2">
        <v>0</v>
      </c>
      <c r="E103" s="2">
        <v>3</v>
      </c>
      <c r="F103" s="13">
        <f t="shared" ref="F103:F113" si="8">B103/(B103+C103)</f>
        <v>0.66666666666666663</v>
      </c>
      <c r="G103" s="7">
        <f t="shared" ref="G103:G114" si="9">IFERROR(B103/(B103+D103),0)</f>
        <v>1</v>
      </c>
    </row>
    <row r="104" spans="1:7" ht="18" customHeight="1" x14ac:dyDescent="0.25">
      <c r="A104" s="9" t="s">
        <v>108</v>
      </c>
      <c r="B104" s="10">
        <v>2</v>
      </c>
      <c r="C104" s="10">
        <v>1</v>
      </c>
      <c r="D104" s="10">
        <v>0</v>
      </c>
      <c r="E104" s="10">
        <v>3</v>
      </c>
      <c r="F104" s="13">
        <f t="shared" si="8"/>
        <v>0.66666666666666663</v>
      </c>
      <c r="G104" s="11">
        <f t="shared" si="9"/>
        <v>1</v>
      </c>
    </row>
    <row r="105" spans="1:7" ht="18" customHeight="1" x14ac:dyDescent="0.25">
      <c r="A105" s="6" t="s">
        <v>109</v>
      </c>
      <c r="B105" s="2">
        <v>4</v>
      </c>
      <c r="C105" s="2">
        <v>2</v>
      </c>
      <c r="D105" s="2">
        <v>0</v>
      </c>
      <c r="E105" s="2">
        <v>6</v>
      </c>
      <c r="F105" s="13">
        <f t="shared" si="8"/>
        <v>0.66666666666666663</v>
      </c>
      <c r="G105" s="7">
        <f t="shared" si="9"/>
        <v>1</v>
      </c>
    </row>
    <row r="106" spans="1:7" ht="18" customHeight="1" x14ac:dyDescent="0.25">
      <c r="A106" s="9" t="s">
        <v>110</v>
      </c>
      <c r="B106" s="10">
        <v>7</v>
      </c>
      <c r="C106" s="10">
        <v>4</v>
      </c>
      <c r="D106" s="10">
        <v>0</v>
      </c>
      <c r="E106" s="10">
        <v>11</v>
      </c>
      <c r="F106" s="13">
        <f t="shared" si="8"/>
        <v>0.63636363636363635</v>
      </c>
      <c r="G106" s="11">
        <f t="shared" si="9"/>
        <v>1</v>
      </c>
    </row>
    <row r="107" spans="1:7" ht="18" customHeight="1" x14ac:dyDescent="0.25">
      <c r="A107" s="6" t="s">
        <v>111</v>
      </c>
      <c r="B107" s="2">
        <v>6</v>
      </c>
      <c r="C107" s="2">
        <v>3</v>
      </c>
      <c r="D107" s="2">
        <v>0</v>
      </c>
      <c r="E107" s="2">
        <v>9</v>
      </c>
      <c r="F107" s="13">
        <f t="shared" si="8"/>
        <v>0.66666666666666663</v>
      </c>
      <c r="G107" s="7">
        <f t="shared" si="9"/>
        <v>1</v>
      </c>
    </row>
    <row r="108" spans="1:7" ht="18" customHeight="1" x14ac:dyDescent="0.25">
      <c r="A108" s="9" t="s">
        <v>112</v>
      </c>
      <c r="B108" s="10">
        <v>6</v>
      </c>
      <c r="C108" s="10">
        <v>1</v>
      </c>
      <c r="D108" s="10">
        <v>0</v>
      </c>
      <c r="E108" s="10">
        <v>7</v>
      </c>
      <c r="F108" s="13">
        <f t="shared" si="8"/>
        <v>0.8571428571428571</v>
      </c>
      <c r="G108" s="11">
        <f t="shared" si="9"/>
        <v>1</v>
      </c>
    </row>
    <row r="109" spans="1:7" ht="18" customHeight="1" x14ac:dyDescent="0.25">
      <c r="A109" s="6" t="s">
        <v>113</v>
      </c>
      <c r="B109" s="2">
        <v>3</v>
      </c>
      <c r="C109" s="2">
        <v>1</v>
      </c>
      <c r="D109" s="2">
        <v>0</v>
      </c>
      <c r="E109" s="2">
        <v>4</v>
      </c>
      <c r="F109" s="13">
        <f t="shared" si="8"/>
        <v>0.75</v>
      </c>
      <c r="G109" s="7">
        <f t="shared" si="9"/>
        <v>1</v>
      </c>
    </row>
    <row r="110" spans="1:7" ht="18" customHeight="1" x14ac:dyDescent="0.25">
      <c r="A110" s="9" t="s">
        <v>114</v>
      </c>
      <c r="B110" s="10">
        <v>2</v>
      </c>
      <c r="C110" s="10">
        <v>1</v>
      </c>
      <c r="D110" s="10">
        <v>2</v>
      </c>
      <c r="E110" s="10">
        <v>3</v>
      </c>
      <c r="F110" s="13">
        <f t="shared" si="8"/>
        <v>0.66666666666666663</v>
      </c>
      <c r="G110" s="11">
        <f t="shared" si="9"/>
        <v>0.5</v>
      </c>
    </row>
    <row r="111" spans="1:7" ht="18" customHeight="1" x14ac:dyDescent="0.25">
      <c r="A111" s="6" t="s">
        <v>115</v>
      </c>
      <c r="B111" s="2">
        <v>6</v>
      </c>
      <c r="C111" s="2">
        <v>1</v>
      </c>
      <c r="D111" s="2">
        <v>2</v>
      </c>
      <c r="E111" s="2">
        <v>7</v>
      </c>
      <c r="F111" s="13">
        <f t="shared" si="8"/>
        <v>0.8571428571428571</v>
      </c>
      <c r="G111" s="7">
        <f t="shared" si="9"/>
        <v>0.75</v>
      </c>
    </row>
    <row r="112" spans="1:7" ht="18" customHeight="1" x14ac:dyDescent="0.25">
      <c r="A112" s="9" t="s">
        <v>116</v>
      </c>
      <c r="B112" s="10">
        <v>3</v>
      </c>
      <c r="C112" s="10">
        <v>1</v>
      </c>
      <c r="D112" s="10">
        <v>5</v>
      </c>
      <c r="E112" s="10">
        <v>4</v>
      </c>
      <c r="F112" s="13">
        <f t="shared" si="8"/>
        <v>0.75</v>
      </c>
      <c r="G112" s="11">
        <f t="shared" si="9"/>
        <v>0.375</v>
      </c>
    </row>
    <row r="113" spans="1:8" ht="18" customHeight="1" x14ac:dyDescent="0.25">
      <c r="A113" s="6" t="s">
        <v>117</v>
      </c>
      <c r="B113" s="2">
        <v>3</v>
      </c>
      <c r="C113" s="2">
        <v>2</v>
      </c>
      <c r="D113" s="2">
        <v>1</v>
      </c>
      <c r="E113" s="2">
        <v>5</v>
      </c>
      <c r="F113" s="13">
        <f t="shared" si="8"/>
        <v>0.6</v>
      </c>
      <c r="G113" s="7">
        <f t="shared" si="9"/>
        <v>0.75</v>
      </c>
    </row>
    <row r="114" spans="1:8" ht="21.75" customHeight="1" x14ac:dyDescent="0.25">
      <c r="A114" s="14" t="s">
        <v>118</v>
      </c>
      <c r="B114" s="14">
        <f>SUM(B5:B113)</f>
        <v>572</v>
      </c>
      <c r="C114" s="14">
        <f>SUM(C5:C113)</f>
        <v>409</v>
      </c>
      <c r="D114" s="14">
        <f>SUM(D5:D113)</f>
        <v>23</v>
      </c>
      <c r="E114" s="14">
        <f>SUM(E5:E113)</f>
        <v>981</v>
      </c>
      <c r="F114" s="15">
        <f>459/(459+363)</f>
        <v>0.55839416058394165</v>
      </c>
      <c r="G114" s="16">
        <f t="shared" si="9"/>
        <v>0.96134453781512608</v>
      </c>
      <c r="H114" s="17"/>
    </row>
    <row r="116" spans="1:8" ht="24" customHeight="1" x14ac:dyDescent="0.25">
      <c r="A116" s="4" t="s">
        <v>119</v>
      </c>
      <c r="B116" s="4"/>
      <c r="C116" s="4"/>
      <c r="D116" s="4"/>
      <c r="E116" s="4"/>
    </row>
    <row r="117" spans="1:8" ht="25.5" customHeight="1" x14ac:dyDescent="0.25">
      <c r="A117" s="1" t="s">
        <v>120</v>
      </c>
      <c r="B117" s="1" t="s">
        <v>121</v>
      </c>
      <c r="C117" s="1" t="s">
        <v>122</v>
      </c>
      <c r="D117" s="1" t="s">
        <v>123</v>
      </c>
      <c r="E117" s="1" t="s">
        <v>124</v>
      </c>
      <c r="F117" s="18"/>
      <c r="G117" s="18"/>
      <c r="H117" s="18"/>
    </row>
    <row r="118" spans="1:8" ht="19.5" customHeight="1" x14ac:dyDescent="0.25">
      <c r="A118" s="19" t="s">
        <v>7</v>
      </c>
      <c r="B118" s="20" t="s">
        <v>125</v>
      </c>
      <c r="C118" s="20" t="s">
        <v>126</v>
      </c>
      <c r="D118" s="21">
        <f>B114/(B114+C114)</f>
        <v>0.58307849133537204</v>
      </c>
      <c r="E118" s="20" t="s">
        <v>127</v>
      </c>
      <c r="F118" s="22"/>
      <c r="G118" s="22"/>
      <c r="H118" s="22"/>
    </row>
    <row r="119" spans="1:8" ht="19.5" customHeight="1" x14ac:dyDescent="0.25">
      <c r="A119" s="23" t="s">
        <v>128</v>
      </c>
      <c r="B119" s="6" t="s">
        <v>129</v>
      </c>
      <c r="C119" s="6" t="s">
        <v>130</v>
      </c>
      <c r="D119" s="21">
        <f>IFERROR(B114/(B114+D114),0)</f>
        <v>0.96134453781512608</v>
      </c>
      <c r="E119" s="6" t="s">
        <v>131</v>
      </c>
      <c r="F119" s="24"/>
      <c r="G119" s="24"/>
      <c r="H119" s="24"/>
    </row>
    <row r="120" spans="1:8" ht="19.5" customHeight="1" x14ac:dyDescent="0.25">
      <c r="A120" s="19" t="s">
        <v>132</v>
      </c>
      <c r="B120" s="20" t="s">
        <v>133</v>
      </c>
      <c r="C120" s="20" t="s">
        <v>134</v>
      </c>
      <c r="D120" s="21">
        <f>IFERROR(2*D118*D119/(D118+D119),0)</f>
        <v>0.7258883248730964</v>
      </c>
      <c r="E120" s="20" t="s">
        <v>135</v>
      </c>
      <c r="F120" s="22"/>
      <c r="G120" s="22"/>
      <c r="H120" s="22"/>
    </row>
    <row r="121" spans="1:8" ht="19.5" customHeight="1" x14ac:dyDescent="0.25">
      <c r="A121" s="23" t="s">
        <v>136</v>
      </c>
      <c r="B121" s="6" t="s">
        <v>137</v>
      </c>
      <c r="C121" s="6" t="s">
        <v>138</v>
      </c>
      <c r="D121" s="21">
        <f>C114/(B114+C114)</f>
        <v>0.4169215086646279</v>
      </c>
      <c r="E121" s="6" t="s">
        <v>139</v>
      </c>
      <c r="F121" s="24"/>
      <c r="G121" s="24"/>
      <c r="H121" s="24"/>
    </row>
    <row r="124" spans="1:8" ht="24" customHeight="1" x14ac:dyDescent="0.25">
      <c r="A124" s="4" t="s">
        <v>140</v>
      </c>
      <c r="B124" s="4"/>
      <c r="C124" s="4"/>
      <c r="D124" s="4"/>
      <c r="E124" s="4"/>
    </row>
    <row r="125" spans="1:8" ht="25.5" customHeight="1" x14ac:dyDescent="0.25">
      <c r="A125" s="1" t="s">
        <v>141</v>
      </c>
      <c r="B125" s="1" t="s">
        <v>142</v>
      </c>
      <c r="C125" s="1" t="s">
        <v>143</v>
      </c>
      <c r="D125" s="1" t="s">
        <v>144</v>
      </c>
      <c r="E125" s="1" t="s">
        <v>145</v>
      </c>
      <c r="F125" s="5"/>
      <c r="G125" s="5"/>
      <c r="H125" s="5"/>
    </row>
    <row r="126" spans="1:8" ht="80.25" customHeight="1" x14ac:dyDescent="0.25">
      <c r="A126" s="25" t="s">
        <v>146</v>
      </c>
      <c r="B126" s="26">
        <v>113</v>
      </c>
      <c r="C126" s="27">
        <f>B126/C114</f>
        <v>0.27628361858190709</v>
      </c>
      <c r="D126" s="25" t="s">
        <v>147</v>
      </c>
      <c r="E126" s="25" t="s">
        <v>148</v>
      </c>
      <c r="F126" s="8"/>
      <c r="G126" s="8"/>
      <c r="H126" s="8"/>
    </row>
    <row r="127" spans="1:8" ht="51.75" customHeight="1" x14ac:dyDescent="0.25">
      <c r="A127" s="3" t="s">
        <v>149</v>
      </c>
      <c r="B127" s="26">
        <v>101</v>
      </c>
      <c r="C127" s="27">
        <f>B127/C114</f>
        <v>0.24694376528117359</v>
      </c>
      <c r="D127" s="3" t="s">
        <v>150</v>
      </c>
      <c r="E127" s="3" t="s">
        <v>151</v>
      </c>
      <c r="F127" s="12"/>
      <c r="G127" s="12"/>
      <c r="H127" s="12"/>
    </row>
    <row r="128" spans="1:8" ht="51.75" customHeight="1" x14ac:dyDescent="0.25">
      <c r="A128" s="25" t="s">
        <v>152</v>
      </c>
      <c r="B128" s="26">
        <v>56</v>
      </c>
      <c r="C128" s="27">
        <f>B128/C114</f>
        <v>0.13691931540342298</v>
      </c>
      <c r="D128" s="25" t="s">
        <v>153</v>
      </c>
      <c r="E128" s="25" t="s">
        <v>154</v>
      </c>
      <c r="F128" s="8"/>
      <c r="G128" s="8"/>
      <c r="H128" s="8"/>
    </row>
    <row r="129" spans="1:8" ht="51.75" customHeight="1" x14ac:dyDescent="0.25">
      <c r="A129" s="3" t="s">
        <v>155</v>
      </c>
      <c r="B129" s="26">
        <v>63</v>
      </c>
      <c r="C129" s="27">
        <f>B129/C114</f>
        <v>0.15403422982885084</v>
      </c>
      <c r="D129" s="3" t="s">
        <v>156</v>
      </c>
      <c r="E129" s="3" t="s">
        <v>157</v>
      </c>
      <c r="F129" s="12"/>
      <c r="G129" s="12"/>
      <c r="H129" s="12"/>
    </row>
    <row r="130" spans="1:8" ht="51.75" customHeight="1" x14ac:dyDescent="0.25">
      <c r="A130" s="25" t="s">
        <v>158</v>
      </c>
      <c r="B130" s="26">
        <v>9</v>
      </c>
      <c r="C130" s="27">
        <f>B130/C114</f>
        <v>2.2004889975550123E-2</v>
      </c>
      <c r="D130" s="25" t="s">
        <v>159</v>
      </c>
      <c r="E130" s="25" t="s">
        <v>160</v>
      </c>
      <c r="F130" s="8"/>
      <c r="G130" s="8"/>
      <c r="H130" s="8"/>
    </row>
    <row r="131" spans="1:8" ht="51.75" customHeight="1" x14ac:dyDescent="0.25">
      <c r="A131" s="3" t="s">
        <v>161</v>
      </c>
      <c r="B131" s="26">
        <v>11</v>
      </c>
      <c r="C131" s="27">
        <f>B131/C114</f>
        <v>2.6894865525672371E-2</v>
      </c>
      <c r="D131" s="3" t="s">
        <v>162</v>
      </c>
      <c r="E131" s="3" t="s">
        <v>163</v>
      </c>
      <c r="F131" s="12"/>
      <c r="G131" s="12"/>
      <c r="H131" s="12"/>
    </row>
    <row r="132" spans="1:8" ht="51.75" customHeight="1" x14ac:dyDescent="0.25">
      <c r="A132" s="25" t="s">
        <v>164</v>
      </c>
      <c r="B132" s="26">
        <v>2</v>
      </c>
      <c r="C132" s="27">
        <f>B132/C114</f>
        <v>4.8899755501222494E-3</v>
      </c>
      <c r="D132" s="25" t="s">
        <v>165</v>
      </c>
      <c r="E132" s="25" t="s">
        <v>166</v>
      </c>
      <c r="F132" s="8"/>
      <c r="G132" s="8"/>
      <c r="H132" s="8"/>
    </row>
    <row r="133" spans="1:8" ht="51.75" customHeight="1" x14ac:dyDescent="0.25">
      <c r="A133" s="3" t="s">
        <v>167</v>
      </c>
      <c r="B133" s="26">
        <v>3</v>
      </c>
      <c r="C133" s="27">
        <f>B133/C114</f>
        <v>7.3349633251833741E-3</v>
      </c>
      <c r="D133" s="3" t="s">
        <v>168</v>
      </c>
      <c r="E133" s="3" t="s">
        <v>169</v>
      </c>
      <c r="F133" s="12"/>
      <c r="G133" s="12"/>
      <c r="H133" s="12"/>
    </row>
    <row r="134" spans="1:8" ht="39.75" customHeight="1" x14ac:dyDescent="0.25">
      <c r="A134" s="3" t="s">
        <v>170</v>
      </c>
      <c r="B134" s="28">
        <f>C114-SUM(B126:B133)</f>
        <v>51</v>
      </c>
      <c r="C134" s="29">
        <f>(C114-SUM(B126:B133))/C114</f>
        <v>0.12469437652811736</v>
      </c>
      <c r="D134" s="3" t="s">
        <v>171</v>
      </c>
      <c r="E134" s="3" t="s">
        <v>172</v>
      </c>
    </row>
    <row r="135" spans="1:8" ht="21.75" customHeight="1" x14ac:dyDescent="0.25">
      <c r="A135" s="49" t="s">
        <v>173</v>
      </c>
      <c r="B135" s="50"/>
      <c r="C135" s="50"/>
      <c r="D135" s="50"/>
      <c r="E135" s="50"/>
      <c r="F135" s="50"/>
      <c r="G135" s="50"/>
    </row>
    <row r="136" spans="1:8" ht="25.5" customHeight="1" x14ac:dyDescent="0.25"/>
    <row r="137" spans="1:8" ht="48" customHeight="1" x14ac:dyDescent="0.25">
      <c r="A137" s="30" t="s">
        <v>174</v>
      </c>
    </row>
    <row r="138" spans="1:8" ht="48" customHeight="1" x14ac:dyDescent="0.25">
      <c r="A138" s="31" t="s">
        <v>2</v>
      </c>
      <c r="B138" s="31" t="s">
        <v>175</v>
      </c>
      <c r="C138" s="31" t="s">
        <v>176</v>
      </c>
      <c r="D138" s="31" t="s">
        <v>177</v>
      </c>
      <c r="E138" s="31" t="s">
        <v>178</v>
      </c>
    </row>
    <row r="139" spans="1:8" ht="48" customHeight="1" x14ac:dyDescent="0.25">
      <c r="A139" s="3" t="s">
        <v>24</v>
      </c>
      <c r="B139" s="3" t="s">
        <v>179</v>
      </c>
      <c r="C139" s="2" t="s">
        <v>180</v>
      </c>
      <c r="D139" s="3" t="s">
        <v>181</v>
      </c>
      <c r="E139" s="3" t="s">
        <v>182</v>
      </c>
    </row>
    <row r="140" spans="1:8" ht="48" customHeight="1" x14ac:dyDescent="0.25">
      <c r="A140" s="32" t="s">
        <v>37</v>
      </c>
      <c r="B140" s="32" t="s">
        <v>183</v>
      </c>
      <c r="C140" s="33" t="s">
        <v>180</v>
      </c>
      <c r="D140" s="32" t="s">
        <v>181</v>
      </c>
      <c r="E140" s="32" t="s">
        <v>184</v>
      </c>
    </row>
    <row r="141" spans="1:8" ht="48" customHeight="1" x14ac:dyDescent="0.25">
      <c r="A141" s="3" t="s">
        <v>37</v>
      </c>
      <c r="B141" s="3" t="s">
        <v>185</v>
      </c>
      <c r="C141" s="2" t="s">
        <v>180</v>
      </c>
      <c r="D141" s="3" t="s">
        <v>181</v>
      </c>
      <c r="E141" s="3" t="s">
        <v>186</v>
      </c>
    </row>
    <row r="142" spans="1:8" ht="48" customHeight="1" x14ac:dyDescent="0.25">
      <c r="A142" s="32" t="s">
        <v>23</v>
      </c>
      <c r="B142" s="32" t="s">
        <v>183</v>
      </c>
      <c r="C142" s="33" t="s">
        <v>180</v>
      </c>
      <c r="D142" s="32" t="s">
        <v>181</v>
      </c>
      <c r="E142" s="32" t="s">
        <v>187</v>
      </c>
    </row>
    <row r="143" spans="1:8" ht="48" customHeight="1" x14ac:dyDescent="0.25">
      <c r="A143" s="3" t="s">
        <v>39</v>
      </c>
      <c r="B143" s="3" t="s">
        <v>185</v>
      </c>
      <c r="C143" s="2" t="s">
        <v>180</v>
      </c>
      <c r="D143" s="3" t="s">
        <v>181</v>
      </c>
      <c r="E143" s="3" t="s">
        <v>187</v>
      </c>
    </row>
    <row r="144" spans="1:8" ht="48" customHeight="1" x14ac:dyDescent="0.25">
      <c r="A144" s="32" t="s">
        <v>39</v>
      </c>
      <c r="B144" s="32" t="s">
        <v>188</v>
      </c>
      <c r="C144" s="33" t="s">
        <v>189</v>
      </c>
      <c r="D144" s="32" t="s">
        <v>190</v>
      </c>
      <c r="E144" s="32" t="s">
        <v>191</v>
      </c>
    </row>
    <row r="145" spans="1:5" ht="48" customHeight="1" x14ac:dyDescent="0.25">
      <c r="A145" s="3" t="s">
        <v>44</v>
      </c>
      <c r="B145" s="3" t="s">
        <v>185</v>
      </c>
      <c r="C145" s="2" t="s">
        <v>180</v>
      </c>
      <c r="D145" s="3" t="s">
        <v>181</v>
      </c>
      <c r="E145" s="3" t="s">
        <v>187</v>
      </c>
    </row>
    <row r="146" spans="1:5" ht="48" customHeight="1" x14ac:dyDescent="0.25">
      <c r="A146" s="32" t="s">
        <v>33</v>
      </c>
      <c r="B146" s="32" t="s">
        <v>188</v>
      </c>
      <c r="C146" s="33" t="s">
        <v>189</v>
      </c>
      <c r="D146" s="32" t="s">
        <v>190</v>
      </c>
      <c r="E146" s="32" t="s">
        <v>191</v>
      </c>
    </row>
    <row r="147" spans="1:5" ht="48" customHeight="1" x14ac:dyDescent="0.25">
      <c r="A147" s="3" t="s">
        <v>22</v>
      </c>
      <c r="B147" s="3" t="s">
        <v>192</v>
      </c>
      <c r="C147" s="2" t="s">
        <v>193</v>
      </c>
      <c r="D147" s="3" t="s">
        <v>194</v>
      </c>
      <c r="E147" s="3" t="s">
        <v>195</v>
      </c>
    </row>
    <row r="148" spans="1:5" ht="48" customHeight="1" x14ac:dyDescent="0.25">
      <c r="A148" s="32" t="s">
        <v>84</v>
      </c>
      <c r="B148" s="32" t="s">
        <v>196</v>
      </c>
      <c r="C148" s="33" t="s">
        <v>197</v>
      </c>
      <c r="D148" s="32" t="s">
        <v>198</v>
      </c>
      <c r="E148" s="32" t="s">
        <v>199</v>
      </c>
    </row>
    <row r="149" spans="1:5" ht="48" customHeight="1" x14ac:dyDescent="0.25">
      <c r="A149" s="3" t="s">
        <v>85</v>
      </c>
      <c r="B149" s="3" t="s">
        <v>196</v>
      </c>
      <c r="C149" s="2" t="s">
        <v>197</v>
      </c>
      <c r="D149" s="3" t="s">
        <v>198</v>
      </c>
      <c r="E149" s="3" t="s">
        <v>200</v>
      </c>
    </row>
    <row r="150" spans="1:5" ht="23.85" customHeight="1" x14ac:dyDescent="0.25">
      <c r="A150" s="32" t="s">
        <v>76</v>
      </c>
      <c r="B150" s="32" t="s">
        <v>196</v>
      </c>
      <c r="C150" s="33" t="s">
        <v>197</v>
      </c>
      <c r="D150" s="32" t="s">
        <v>198</v>
      </c>
      <c r="E150" s="32" t="s">
        <v>200</v>
      </c>
    </row>
    <row r="151" spans="1:5" ht="23.85" customHeight="1" x14ac:dyDescent="0.25">
      <c r="A151" s="3" t="s">
        <v>64</v>
      </c>
      <c r="B151" s="3" t="s">
        <v>201</v>
      </c>
      <c r="C151" s="2" t="s">
        <v>197</v>
      </c>
      <c r="D151" s="3" t="s">
        <v>198</v>
      </c>
      <c r="E151" s="3" t="s">
        <v>202</v>
      </c>
    </row>
  </sheetData>
  <mergeCells count="3">
    <mergeCell ref="A3:H3"/>
    <mergeCell ref="A1:H1"/>
    <mergeCell ref="A135:G13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3"/>
  <sheetViews>
    <sheetView showGridLines="0" workbookViewId="0">
      <pane ySplit="3" topLeftCell="A4" activePane="bottomLeft" state="frozen"/>
      <selection pane="bottomLeft" activeCell="E405" sqref="E405"/>
    </sheetView>
  </sheetViews>
  <sheetFormatPr defaultColWidth="8.85546875" defaultRowHeight="15" x14ac:dyDescent="0.25"/>
  <cols>
    <col min="1" max="1" width="22" customWidth="1"/>
    <col min="2" max="2" width="50" customWidth="1"/>
    <col min="3" max="3" width="16" customWidth="1"/>
    <col min="4" max="4" width="50" customWidth="1"/>
    <col min="5" max="5" width="60" customWidth="1"/>
  </cols>
  <sheetData>
    <row r="1" spans="1:5" ht="33.950000000000003" customHeight="1" x14ac:dyDescent="0.25">
      <c r="A1" s="46" t="s">
        <v>203</v>
      </c>
      <c r="B1" s="44"/>
      <c r="C1" s="44"/>
      <c r="D1" s="44"/>
      <c r="E1" s="44"/>
    </row>
    <row r="2" spans="1:5" ht="26.1" customHeight="1" x14ac:dyDescent="0.25">
      <c r="A2" s="43" t="s">
        <v>204</v>
      </c>
      <c r="B2" s="44"/>
      <c r="C2" s="44"/>
      <c r="D2" s="44"/>
      <c r="E2" s="44"/>
    </row>
    <row r="3" spans="1:5" ht="27.95" customHeight="1" x14ac:dyDescent="0.25">
      <c r="A3" s="34" t="s">
        <v>2</v>
      </c>
      <c r="B3" s="34" t="s">
        <v>205</v>
      </c>
      <c r="C3" s="34" t="s">
        <v>206</v>
      </c>
      <c r="D3" s="34" t="s">
        <v>207</v>
      </c>
      <c r="E3" s="34" t="s">
        <v>178</v>
      </c>
    </row>
    <row r="4" spans="1:5" ht="45" customHeight="1" x14ac:dyDescent="0.25">
      <c r="A4" s="35" t="s">
        <v>208</v>
      </c>
      <c r="B4" s="35" t="s">
        <v>209</v>
      </c>
      <c r="C4" s="36" t="s">
        <v>210</v>
      </c>
      <c r="D4" s="35" t="s">
        <v>152</v>
      </c>
      <c r="E4" s="35" t="s">
        <v>211</v>
      </c>
    </row>
    <row r="5" spans="1:5" ht="45" customHeight="1" x14ac:dyDescent="0.25">
      <c r="A5" s="37" t="s">
        <v>208</v>
      </c>
      <c r="B5" s="37" t="s">
        <v>212</v>
      </c>
      <c r="C5" s="38" t="s">
        <v>210</v>
      </c>
      <c r="D5" s="37" t="s">
        <v>152</v>
      </c>
      <c r="E5" s="37" t="s">
        <v>213</v>
      </c>
    </row>
    <row r="6" spans="1:5" ht="45" customHeight="1" x14ac:dyDescent="0.25">
      <c r="A6" s="35" t="s">
        <v>208</v>
      </c>
      <c r="B6" s="35" t="s">
        <v>214</v>
      </c>
      <c r="C6" s="36" t="s">
        <v>210</v>
      </c>
      <c r="D6" s="35" t="s">
        <v>152</v>
      </c>
      <c r="E6" s="35" t="s">
        <v>215</v>
      </c>
    </row>
    <row r="7" spans="1:5" ht="45" customHeight="1" x14ac:dyDescent="0.25">
      <c r="A7" s="37" t="s">
        <v>208</v>
      </c>
      <c r="B7" s="37" t="s">
        <v>216</v>
      </c>
      <c r="C7" s="38" t="s">
        <v>210</v>
      </c>
      <c r="D7" s="37" t="s">
        <v>146</v>
      </c>
      <c r="E7" s="37" t="s">
        <v>217</v>
      </c>
    </row>
    <row r="8" spans="1:5" ht="45" customHeight="1" x14ac:dyDescent="0.25">
      <c r="A8" s="35" t="s">
        <v>218</v>
      </c>
      <c r="B8" s="35" t="s">
        <v>219</v>
      </c>
      <c r="C8" s="36" t="s">
        <v>210</v>
      </c>
      <c r="D8" s="35" t="s">
        <v>149</v>
      </c>
      <c r="E8" s="35" t="s">
        <v>220</v>
      </c>
    </row>
    <row r="9" spans="1:5" ht="45" customHeight="1" x14ac:dyDescent="0.25">
      <c r="A9" s="37" t="s">
        <v>218</v>
      </c>
      <c r="B9" s="37" t="s">
        <v>216</v>
      </c>
      <c r="C9" s="38" t="s">
        <v>210</v>
      </c>
      <c r="D9" s="37" t="s">
        <v>146</v>
      </c>
      <c r="E9" s="37" t="s">
        <v>217</v>
      </c>
    </row>
    <row r="10" spans="1:5" ht="45" customHeight="1" x14ac:dyDescent="0.25">
      <c r="A10" s="35" t="s">
        <v>218</v>
      </c>
      <c r="B10" s="35" t="s">
        <v>221</v>
      </c>
      <c r="C10" s="36" t="s">
        <v>210</v>
      </c>
      <c r="D10" s="35" t="s">
        <v>149</v>
      </c>
      <c r="E10" s="35" t="s">
        <v>222</v>
      </c>
    </row>
    <row r="11" spans="1:5" ht="45" customHeight="1" x14ac:dyDescent="0.25">
      <c r="A11" s="37" t="s">
        <v>218</v>
      </c>
      <c r="B11" s="37" t="s">
        <v>223</v>
      </c>
      <c r="C11" s="38" t="s">
        <v>210</v>
      </c>
      <c r="D11" s="37" t="s">
        <v>149</v>
      </c>
      <c r="E11" s="37" t="s">
        <v>224</v>
      </c>
    </row>
    <row r="12" spans="1:5" ht="45" customHeight="1" x14ac:dyDescent="0.25">
      <c r="A12" s="35" t="s">
        <v>225</v>
      </c>
      <c r="B12" s="35" t="s">
        <v>216</v>
      </c>
      <c r="C12" s="36" t="s">
        <v>210</v>
      </c>
      <c r="D12" s="35" t="s">
        <v>146</v>
      </c>
      <c r="E12" s="35" t="s">
        <v>217</v>
      </c>
    </row>
    <row r="13" spans="1:5" ht="45" customHeight="1" x14ac:dyDescent="0.25">
      <c r="A13" s="37" t="s">
        <v>9</v>
      </c>
      <c r="B13" s="37" t="s">
        <v>226</v>
      </c>
      <c r="C13" s="38" t="s">
        <v>210</v>
      </c>
      <c r="D13" s="37" t="s">
        <v>149</v>
      </c>
      <c r="E13" s="37" t="s">
        <v>227</v>
      </c>
    </row>
    <row r="14" spans="1:5" ht="45" customHeight="1" x14ac:dyDescent="0.25">
      <c r="A14" s="35" t="s">
        <v>9</v>
      </c>
      <c r="B14" s="35" t="s">
        <v>228</v>
      </c>
      <c r="C14" s="36" t="s">
        <v>210</v>
      </c>
      <c r="D14" s="35" t="s">
        <v>149</v>
      </c>
      <c r="E14" s="35" t="s">
        <v>229</v>
      </c>
    </row>
    <row r="15" spans="1:5" ht="45" customHeight="1" x14ac:dyDescent="0.25">
      <c r="A15" s="37" t="s">
        <v>9</v>
      </c>
      <c r="B15" s="37" t="s">
        <v>230</v>
      </c>
      <c r="C15" s="38" t="s">
        <v>210</v>
      </c>
      <c r="D15" s="37" t="s">
        <v>149</v>
      </c>
      <c r="E15" s="37" t="s">
        <v>231</v>
      </c>
    </row>
    <row r="16" spans="1:5" ht="45" customHeight="1" x14ac:dyDescent="0.25">
      <c r="A16" s="35" t="s">
        <v>9</v>
      </c>
      <c r="B16" s="35" t="s">
        <v>232</v>
      </c>
      <c r="C16" s="36" t="s">
        <v>210</v>
      </c>
      <c r="D16" s="35" t="s">
        <v>146</v>
      </c>
      <c r="E16" s="35" t="s">
        <v>233</v>
      </c>
    </row>
    <row r="17" spans="1:5" ht="45" customHeight="1" x14ac:dyDescent="0.25">
      <c r="A17" s="37" t="s">
        <v>234</v>
      </c>
      <c r="B17" s="37" t="s">
        <v>235</v>
      </c>
      <c r="C17" s="38" t="s">
        <v>210</v>
      </c>
      <c r="D17" s="37" t="s">
        <v>152</v>
      </c>
      <c r="E17" s="37" t="s">
        <v>236</v>
      </c>
    </row>
    <row r="18" spans="1:5" ht="45" customHeight="1" x14ac:dyDescent="0.25">
      <c r="A18" s="35" t="s">
        <v>234</v>
      </c>
      <c r="B18" s="35" t="s">
        <v>237</v>
      </c>
      <c r="C18" s="36" t="s">
        <v>210</v>
      </c>
      <c r="D18" s="35" t="s">
        <v>152</v>
      </c>
      <c r="E18" s="35" t="s">
        <v>238</v>
      </c>
    </row>
    <row r="19" spans="1:5" ht="45" customHeight="1" x14ac:dyDescent="0.25">
      <c r="A19" s="37" t="s">
        <v>234</v>
      </c>
      <c r="B19" s="37" t="s">
        <v>239</v>
      </c>
      <c r="C19" s="38" t="s">
        <v>210</v>
      </c>
      <c r="D19" s="37" t="s">
        <v>149</v>
      </c>
      <c r="E19" s="37" t="s">
        <v>240</v>
      </c>
    </row>
    <row r="20" spans="1:5" ht="45" customHeight="1" x14ac:dyDescent="0.25">
      <c r="A20" s="35" t="s">
        <v>234</v>
      </c>
      <c r="B20" s="35" t="s">
        <v>216</v>
      </c>
      <c r="C20" s="36" t="s">
        <v>210</v>
      </c>
      <c r="D20" s="35" t="s">
        <v>146</v>
      </c>
      <c r="E20" s="35" t="s">
        <v>241</v>
      </c>
    </row>
    <row r="21" spans="1:5" ht="45" customHeight="1" x14ac:dyDescent="0.25">
      <c r="A21" s="37" t="s">
        <v>242</v>
      </c>
      <c r="B21" s="37" t="s">
        <v>243</v>
      </c>
      <c r="C21" s="38" t="s">
        <v>210</v>
      </c>
      <c r="D21" s="37" t="s">
        <v>244</v>
      </c>
      <c r="E21" s="37" t="s">
        <v>245</v>
      </c>
    </row>
    <row r="22" spans="1:5" ht="45" customHeight="1" x14ac:dyDescent="0.25">
      <c r="A22" s="35" t="s">
        <v>242</v>
      </c>
      <c r="B22" s="35" t="s">
        <v>216</v>
      </c>
      <c r="C22" s="36" t="s">
        <v>210</v>
      </c>
      <c r="D22" s="35" t="s">
        <v>146</v>
      </c>
      <c r="E22" s="35" t="s">
        <v>217</v>
      </c>
    </row>
    <row r="23" spans="1:5" ht="45" customHeight="1" x14ac:dyDescent="0.25">
      <c r="A23" s="37" t="s">
        <v>246</v>
      </c>
      <c r="B23" s="37" t="s">
        <v>247</v>
      </c>
      <c r="C23" s="38" t="s">
        <v>210</v>
      </c>
      <c r="D23" s="37" t="s">
        <v>155</v>
      </c>
      <c r="E23" s="37" t="s">
        <v>248</v>
      </c>
    </row>
    <row r="24" spans="1:5" ht="45" customHeight="1" x14ac:dyDescent="0.25">
      <c r="A24" s="35" t="s">
        <v>246</v>
      </c>
      <c r="B24" s="35" t="s">
        <v>216</v>
      </c>
      <c r="C24" s="36" t="s">
        <v>210</v>
      </c>
      <c r="D24" s="35" t="s">
        <v>146</v>
      </c>
      <c r="E24" s="35" t="s">
        <v>217</v>
      </c>
    </row>
    <row r="25" spans="1:5" ht="45" customHeight="1" x14ac:dyDescent="0.25">
      <c r="A25" s="37" t="s">
        <v>246</v>
      </c>
      <c r="B25" s="37" t="s">
        <v>249</v>
      </c>
      <c r="C25" s="38" t="s">
        <v>210</v>
      </c>
      <c r="D25" s="37" t="s">
        <v>149</v>
      </c>
      <c r="E25" s="37" t="s">
        <v>250</v>
      </c>
    </row>
    <row r="26" spans="1:5" ht="45" customHeight="1" x14ac:dyDescent="0.25">
      <c r="A26" s="35" t="s">
        <v>246</v>
      </c>
      <c r="B26" s="35" t="s">
        <v>251</v>
      </c>
      <c r="C26" s="36" t="s">
        <v>210</v>
      </c>
      <c r="D26" s="35" t="s">
        <v>149</v>
      </c>
      <c r="E26" s="35" t="s">
        <v>252</v>
      </c>
    </row>
    <row r="27" spans="1:5" ht="45" customHeight="1" x14ac:dyDescent="0.25">
      <c r="A27" s="37" t="s">
        <v>253</v>
      </c>
      <c r="B27" s="37" t="s">
        <v>243</v>
      </c>
      <c r="C27" s="38" t="s">
        <v>210</v>
      </c>
      <c r="D27" s="37" t="s">
        <v>244</v>
      </c>
      <c r="E27" s="37" t="s">
        <v>254</v>
      </c>
    </row>
    <row r="28" spans="1:5" ht="45" customHeight="1" x14ac:dyDescent="0.25">
      <c r="A28" s="35" t="s">
        <v>253</v>
      </c>
      <c r="B28" s="35" t="s">
        <v>216</v>
      </c>
      <c r="C28" s="36" t="s">
        <v>210</v>
      </c>
      <c r="D28" s="35" t="s">
        <v>146</v>
      </c>
      <c r="E28" s="35" t="s">
        <v>217</v>
      </c>
    </row>
    <row r="29" spans="1:5" ht="45" customHeight="1" x14ac:dyDescent="0.25">
      <c r="A29" s="37" t="s">
        <v>255</v>
      </c>
      <c r="B29" s="37" t="s">
        <v>256</v>
      </c>
      <c r="C29" s="38" t="s">
        <v>210</v>
      </c>
      <c r="D29" s="37" t="s">
        <v>149</v>
      </c>
      <c r="E29" s="37" t="s">
        <v>257</v>
      </c>
    </row>
    <row r="30" spans="1:5" ht="45" customHeight="1" x14ac:dyDescent="0.25">
      <c r="A30" s="35" t="s">
        <v>255</v>
      </c>
      <c r="B30" s="35" t="s">
        <v>216</v>
      </c>
      <c r="C30" s="36" t="s">
        <v>210</v>
      </c>
      <c r="D30" s="35" t="s">
        <v>146</v>
      </c>
      <c r="E30" s="35" t="s">
        <v>217</v>
      </c>
    </row>
    <row r="31" spans="1:5" ht="45" customHeight="1" x14ac:dyDescent="0.25">
      <c r="A31" s="37" t="s">
        <v>258</v>
      </c>
      <c r="B31" s="37" t="s">
        <v>259</v>
      </c>
      <c r="C31" s="38" t="s">
        <v>210</v>
      </c>
      <c r="D31" s="37" t="s">
        <v>152</v>
      </c>
      <c r="E31" s="37" t="s">
        <v>260</v>
      </c>
    </row>
    <row r="32" spans="1:5" ht="45" customHeight="1" x14ac:dyDescent="0.25">
      <c r="A32" s="35" t="s">
        <v>258</v>
      </c>
      <c r="B32" s="35" t="s">
        <v>261</v>
      </c>
      <c r="C32" s="36" t="s">
        <v>210</v>
      </c>
      <c r="D32" s="35" t="s">
        <v>152</v>
      </c>
      <c r="E32" s="35" t="s">
        <v>262</v>
      </c>
    </row>
    <row r="33" spans="1:5" ht="45" customHeight="1" x14ac:dyDescent="0.25">
      <c r="A33" s="37" t="s">
        <v>258</v>
      </c>
      <c r="B33" s="37" t="s">
        <v>263</v>
      </c>
      <c r="C33" s="38" t="s">
        <v>210</v>
      </c>
      <c r="D33" s="37" t="s">
        <v>152</v>
      </c>
      <c r="E33" s="37" t="s">
        <v>264</v>
      </c>
    </row>
    <row r="34" spans="1:5" ht="45" customHeight="1" x14ac:dyDescent="0.25">
      <c r="A34" s="35" t="s">
        <v>258</v>
      </c>
      <c r="B34" s="35" t="s">
        <v>265</v>
      </c>
      <c r="C34" s="36" t="s">
        <v>210</v>
      </c>
      <c r="D34" s="35" t="s">
        <v>149</v>
      </c>
      <c r="E34" s="35" t="s">
        <v>266</v>
      </c>
    </row>
    <row r="35" spans="1:5" ht="45" customHeight="1" x14ac:dyDescent="0.25">
      <c r="A35" s="37" t="s">
        <v>258</v>
      </c>
      <c r="B35" s="37" t="s">
        <v>216</v>
      </c>
      <c r="C35" s="38" t="s">
        <v>210</v>
      </c>
      <c r="D35" s="37" t="s">
        <v>146</v>
      </c>
      <c r="E35" s="37" t="s">
        <v>217</v>
      </c>
    </row>
    <row r="36" spans="1:5" ht="45" customHeight="1" x14ac:dyDescent="0.25">
      <c r="A36" s="35" t="s">
        <v>267</v>
      </c>
      <c r="B36" s="35" t="s">
        <v>268</v>
      </c>
      <c r="C36" s="36" t="s">
        <v>210</v>
      </c>
      <c r="D36" s="35" t="s">
        <v>146</v>
      </c>
      <c r="E36" s="35" t="s">
        <v>269</v>
      </c>
    </row>
    <row r="37" spans="1:5" ht="45" customHeight="1" x14ac:dyDescent="0.25">
      <c r="A37" s="37" t="s">
        <v>267</v>
      </c>
      <c r="B37" s="37" t="s">
        <v>270</v>
      </c>
      <c r="C37" s="38" t="s">
        <v>210</v>
      </c>
      <c r="D37" s="37" t="s">
        <v>152</v>
      </c>
      <c r="E37" s="37" t="s">
        <v>271</v>
      </c>
    </row>
    <row r="38" spans="1:5" ht="45" customHeight="1" x14ac:dyDescent="0.25">
      <c r="A38" s="35" t="s">
        <v>267</v>
      </c>
      <c r="B38" s="35" t="s">
        <v>272</v>
      </c>
      <c r="C38" s="36" t="s">
        <v>210</v>
      </c>
      <c r="D38" s="35" t="s">
        <v>152</v>
      </c>
      <c r="E38" s="35" t="s">
        <v>273</v>
      </c>
    </row>
    <row r="39" spans="1:5" ht="45" customHeight="1" x14ac:dyDescent="0.25">
      <c r="A39" s="37" t="s">
        <v>267</v>
      </c>
      <c r="B39" s="37" t="s">
        <v>274</v>
      </c>
      <c r="C39" s="38" t="s">
        <v>210</v>
      </c>
      <c r="D39" s="37" t="s">
        <v>152</v>
      </c>
      <c r="E39" s="37" t="s">
        <v>275</v>
      </c>
    </row>
    <row r="40" spans="1:5" ht="45" customHeight="1" x14ac:dyDescent="0.25">
      <c r="A40" s="35" t="s">
        <v>267</v>
      </c>
      <c r="B40" s="35" t="s">
        <v>276</v>
      </c>
      <c r="C40" s="36" t="s">
        <v>210</v>
      </c>
      <c r="D40" s="35" t="s">
        <v>152</v>
      </c>
      <c r="E40" s="35" t="s">
        <v>277</v>
      </c>
    </row>
    <row r="41" spans="1:5" ht="45" customHeight="1" x14ac:dyDescent="0.25">
      <c r="A41" s="37" t="s">
        <v>267</v>
      </c>
      <c r="B41" s="37" t="s">
        <v>278</v>
      </c>
      <c r="C41" s="38" t="s">
        <v>210</v>
      </c>
      <c r="D41" s="37" t="s">
        <v>152</v>
      </c>
      <c r="E41" s="37" t="s">
        <v>279</v>
      </c>
    </row>
    <row r="42" spans="1:5" ht="45" customHeight="1" x14ac:dyDescent="0.25">
      <c r="A42" s="35" t="s">
        <v>267</v>
      </c>
      <c r="B42" s="35" t="s">
        <v>216</v>
      </c>
      <c r="C42" s="36" t="s">
        <v>210</v>
      </c>
      <c r="D42" s="35" t="s">
        <v>146</v>
      </c>
      <c r="E42" s="35" t="s">
        <v>217</v>
      </c>
    </row>
    <row r="43" spans="1:5" ht="45" customHeight="1" x14ac:dyDescent="0.25">
      <c r="A43" s="37" t="s">
        <v>267</v>
      </c>
      <c r="B43" s="37" t="s">
        <v>280</v>
      </c>
      <c r="C43" s="38" t="s">
        <v>210</v>
      </c>
      <c r="D43" s="37" t="s">
        <v>161</v>
      </c>
      <c r="E43" s="37" t="s">
        <v>281</v>
      </c>
    </row>
    <row r="44" spans="1:5" ht="45" customHeight="1" x14ac:dyDescent="0.25">
      <c r="A44" s="35" t="s">
        <v>267</v>
      </c>
      <c r="B44" s="35" t="s">
        <v>282</v>
      </c>
      <c r="C44" s="36" t="s">
        <v>210</v>
      </c>
      <c r="D44" s="35" t="s">
        <v>161</v>
      </c>
      <c r="E44" s="35" t="s">
        <v>283</v>
      </c>
    </row>
    <row r="45" spans="1:5" ht="45" customHeight="1" x14ac:dyDescent="0.25">
      <c r="A45" s="37" t="s">
        <v>284</v>
      </c>
      <c r="B45" s="37" t="s">
        <v>285</v>
      </c>
      <c r="C45" s="38" t="s">
        <v>210</v>
      </c>
      <c r="D45" s="37" t="s">
        <v>146</v>
      </c>
      <c r="E45" s="37" t="s">
        <v>286</v>
      </c>
    </row>
    <row r="46" spans="1:5" ht="45" customHeight="1" x14ac:dyDescent="0.25">
      <c r="A46" s="35" t="s">
        <v>284</v>
      </c>
      <c r="B46" s="35" t="s">
        <v>287</v>
      </c>
      <c r="C46" s="36" t="s">
        <v>210</v>
      </c>
      <c r="D46" s="35" t="s">
        <v>152</v>
      </c>
      <c r="E46" s="35" t="s">
        <v>288</v>
      </c>
    </row>
    <row r="47" spans="1:5" ht="45" customHeight="1" x14ac:dyDescent="0.25">
      <c r="A47" s="37" t="s">
        <v>284</v>
      </c>
      <c r="B47" s="37" t="s">
        <v>216</v>
      </c>
      <c r="C47" s="38" t="s">
        <v>210</v>
      </c>
      <c r="D47" s="37" t="s">
        <v>146</v>
      </c>
      <c r="E47" s="37" t="s">
        <v>217</v>
      </c>
    </row>
    <row r="48" spans="1:5" ht="45" customHeight="1" x14ac:dyDescent="0.25">
      <c r="A48" s="35" t="s">
        <v>289</v>
      </c>
      <c r="B48" s="35" t="s">
        <v>290</v>
      </c>
      <c r="C48" s="36" t="s">
        <v>210</v>
      </c>
      <c r="D48" s="35" t="s">
        <v>149</v>
      </c>
      <c r="E48" s="35" t="s">
        <v>291</v>
      </c>
    </row>
    <row r="49" spans="1:5" ht="45" customHeight="1" x14ac:dyDescent="0.25">
      <c r="A49" s="37" t="s">
        <v>289</v>
      </c>
      <c r="B49" s="37" t="s">
        <v>285</v>
      </c>
      <c r="C49" s="38" t="s">
        <v>210</v>
      </c>
      <c r="D49" s="37" t="s">
        <v>146</v>
      </c>
      <c r="E49" s="37" t="s">
        <v>292</v>
      </c>
    </row>
    <row r="50" spans="1:5" ht="45" customHeight="1" x14ac:dyDescent="0.25">
      <c r="A50" s="35" t="s">
        <v>289</v>
      </c>
      <c r="B50" s="35" t="s">
        <v>216</v>
      </c>
      <c r="C50" s="36" t="s">
        <v>210</v>
      </c>
      <c r="D50" s="35" t="s">
        <v>146</v>
      </c>
      <c r="E50" s="35" t="s">
        <v>217</v>
      </c>
    </row>
    <row r="51" spans="1:5" ht="45" customHeight="1" x14ac:dyDescent="0.25">
      <c r="A51" s="37" t="s">
        <v>289</v>
      </c>
      <c r="B51" s="37" t="s">
        <v>293</v>
      </c>
      <c r="C51" s="38" t="s">
        <v>210</v>
      </c>
      <c r="D51" s="37" t="s">
        <v>161</v>
      </c>
      <c r="E51" s="37" t="s">
        <v>294</v>
      </c>
    </row>
    <row r="52" spans="1:5" ht="45" customHeight="1" x14ac:dyDescent="0.25">
      <c r="A52" s="35" t="s">
        <v>289</v>
      </c>
      <c r="B52" s="35" t="s">
        <v>295</v>
      </c>
      <c r="C52" s="36" t="s">
        <v>210</v>
      </c>
      <c r="D52" s="35" t="s">
        <v>149</v>
      </c>
      <c r="E52" s="35" t="s">
        <v>296</v>
      </c>
    </row>
    <row r="53" spans="1:5" ht="45" customHeight="1" x14ac:dyDescent="0.25">
      <c r="A53" s="37" t="s">
        <v>297</v>
      </c>
      <c r="B53" s="37" t="s">
        <v>232</v>
      </c>
      <c r="C53" s="38" t="s">
        <v>210</v>
      </c>
      <c r="D53" s="37" t="s">
        <v>146</v>
      </c>
      <c r="E53" s="37" t="s">
        <v>298</v>
      </c>
    </row>
    <row r="54" spans="1:5" ht="45" customHeight="1" x14ac:dyDescent="0.25">
      <c r="A54" s="35" t="s">
        <v>297</v>
      </c>
      <c r="B54" s="35" t="s">
        <v>299</v>
      </c>
      <c r="C54" s="36" t="s">
        <v>210</v>
      </c>
      <c r="D54" s="35" t="s">
        <v>155</v>
      </c>
      <c r="E54" s="35" t="s">
        <v>300</v>
      </c>
    </row>
    <row r="55" spans="1:5" ht="45" customHeight="1" x14ac:dyDescent="0.25">
      <c r="A55" s="37" t="s">
        <v>297</v>
      </c>
      <c r="B55" s="37" t="s">
        <v>301</v>
      </c>
      <c r="C55" s="38" t="s">
        <v>210</v>
      </c>
      <c r="D55" s="37" t="s">
        <v>155</v>
      </c>
      <c r="E55" s="37" t="s">
        <v>302</v>
      </c>
    </row>
    <row r="56" spans="1:5" ht="45" customHeight="1" x14ac:dyDescent="0.25">
      <c r="A56" s="35" t="s">
        <v>303</v>
      </c>
      <c r="B56" s="35" t="s">
        <v>304</v>
      </c>
      <c r="C56" s="36" t="s">
        <v>210</v>
      </c>
      <c r="D56" s="35" t="s">
        <v>155</v>
      </c>
      <c r="E56" s="35" t="s">
        <v>305</v>
      </c>
    </row>
    <row r="57" spans="1:5" ht="45" customHeight="1" x14ac:dyDescent="0.25">
      <c r="A57" s="37" t="s">
        <v>306</v>
      </c>
      <c r="B57" s="37" t="s">
        <v>307</v>
      </c>
      <c r="C57" s="38" t="s">
        <v>210</v>
      </c>
      <c r="D57" s="37" t="s">
        <v>167</v>
      </c>
      <c r="E57" s="37" t="s">
        <v>308</v>
      </c>
    </row>
    <row r="58" spans="1:5" ht="45" customHeight="1" x14ac:dyDescent="0.25">
      <c r="A58" s="35" t="s">
        <v>306</v>
      </c>
      <c r="B58" s="35" t="s">
        <v>216</v>
      </c>
      <c r="C58" s="36" t="s">
        <v>210</v>
      </c>
      <c r="D58" s="35" t="s">
        <v>146</v>
      </c>
      <c r="E58" s="35" t="s">
        <v>217</v>
      </c>
    </row>
    <row r="59" spans="1:5" ht="45" customHeight="1" x14ac:dyDescent="0.25">
      <c r="A59" s="37" t="s">
        <v>309</v>
      </c>
      <c r="B59" s="37" t="s">
        <v>310</v>
      </c>
      <c r="C59" s="38" t="s">
        <v>210</v>
      </c>
      <c r="D59" s="37" t="s">
        <v>146</v>
      </c>
      <c r="E59" s="37" t="s">
        <v>311</v>
      </c>
    </row>
    <row r="60" spans="1:5" ht="45" customHeight="1" x14ac:dyDescent="0.25">
      <c r="A60" s="35" t="s">
        <v>312</v>
      </c>
      <c r="B60" s="35" t="s">
        <v>216</v>
      </c>
      <c r="C60" s="36" t="s">
        <v>210</v>
      </c>
      <c r="D60" s="35" t="s">
        <v>146</v>
      </c>
      <c r="E60" s="35" t="s">
        <v>217</v>
      </c>
    </row>
    <row r="61" spans="1:5" ht="45" customHeight="1" x14ac:dyDescent="0.25">
      <c r="A61" s="37" t="s">
        <v>313</v>
      </c>
      <c r="B61" s="37" t="s">
        <v>314</v>
      </c>
      <c r="C61" s="38" t="s">
        <v>210</v>
      </c>
      <c r="D61" s="37" t="s">
        <v>146</v>
      </c>
      <c r="E61" s="37" t="s">
        <v>315</v>
      </c>
    </row>
    <row r="62" spans="1:5" ht="45" customHeight="1" x14ac:dyDescent="0.25">
      <c r="A62" s="35" t="s">
        <v>313</v>
      </c>
      <c r="B62" s="35" t="s">
        <v>316</v>
      </c>
      <c r="C62" s="36" t="s">
        <v>210</v>
      </c>
      <c r="D62" s="35" t="s">
        <v>152</v>
      </c>
      <c r="E62" s="35" t="s">
        <v>317</v>
      </c>
    </row>
    <row r="63" spans="1:5" ht="45" customHeight="1" x14ac:dyDescent="0.25">
      <c r="A63" s="37" t="s">
        <v>313</v>
      </c>
      <c r="B63" s="37" t="s">
        <v>216</v>
      </c>
      <c r="C63" s="38" t="s">
        <v>210</v>
      </c>
      <c r="D63" s="37" t="s">
        <v>146</v>
      </c>
      <c r="E63" s="37" t="s">
        <v>217</v>
      </c>
    </row>
    <row r="64" spans="1:5" ht="45" customHeight="1" x14ac:dyDescent="0.25">
      <c r="A64" s="35" t="s">
        <v>318</v>
      </c>
      <c r="B64" s="35" t="s">
        <v>216</v>
      </c>
      <c r="C64" s="36" t="s">
        <v>210</v>
      </c>
      <c r="D64" s="35" t="s">
        <v>146</v>
      </c>
      <c r="E64" s="35" t="s">
        <v>217</v>
      </c>
    </row>
    <row r="65" spans="1:5" ht="45" customHeight="1" x14ac:dyDescent="0.25">
      <c r="A65" s="37" t="s">
        <v>319</v>
      </c>
      <c r="B65" s="37" t="s">
        <v>320</v>
      </c>
      <c r="C65" s="38" t="s">
        <v>210</v>
      </c>
      <c r="D65" s="37" t="s">
        <v>146</v>
      </c>
      <c r="E65" s="37" t="s">
        <v>321</v>
      </c>
    </row>
    <row r="66" spans="1:5" ht="45" customHeight="1" x14ac:dyDescent="0.25">
      <c r="A66" s="35" t="s">
        <v>319</v>
      </c>
      <c r="B66" s="35" t="s">
        <v>322</v>
      </c>
      <c r="C66" s="36" t="s">
        <v>210</v>
      </c>
      <c r="D66" s="35" t="s">
        <v>149</v>
      </c>
      <c r="E66" s="35" t="s">
        <v>323</v>
      </c>
    </row>
    <row r="67" spans="1:5" ht="45" customHeight="1" x14ac:dyDescent="0.25">
      <c r="A67" s="37" t="s">
        <v>319</v>
      </c>
      <c r="B67" s="37" t="s">
        <v>324</v>
      </c>
      <c r="C67" s="38" t="s">
        <v>210</v>
      </c>
      <c r="D67" s="37" t="s">
        <v>152</v>
      </c>
      <c r="E67" s="37" t="s">
        <v>325</v>
      </c>
    </row>
    <row r="68" spans="1:5" ht="45" customHeight="1" x14ac:dyDescent="0.25">
      <c r="A68" s="35" t="s">
        <v>319</v>
      </c>
      <c r="B68" s="35" t="s">
        <v>216</v>
      </c>
      <c r="C68" s="36" t="s">
        <v>210</v>
      </c>
      <c r="D68" s="35" t="s">
        <v>146</v>
      </c>
      <c r="E68" s="35" t="s">
        <v>217</v>
      </c>
    </row>
    <row r="69" spans="1:5" ht="45" customHeight="1" x14ac:dyDescent="0.25">
      <c r="A69" s="37" t="s">
        <v>326</v>
      </c>
      <c r="B69" s="37" t="s">
        <v>243</v>
      </c>
      <c r="C69" s="38" t="s">
        <v>210</v>
      </c>
      <c r="D69" s="37" t="s">
        <v>244</v>
      </c>
      <c r="E69" s="37" t="s">
        <v>254</v>
      </c>
    </row>
    <row r="70" spans="1:5" ht="45" customHeight="1" x14ac:dyDescent="0.25">
      <c r="A70" s="35" t="s">
        <v>326</v>
      </c>
      <c r="B70" s="35" t="s">
        <v>327</v>
      </c>
      <c r="C70" s="36" t="s">
        <v>210</v>
      </c>
      <c r="D70" s="35" t="s">
        <v>155</v>
      </c>
      <c r="E70" s="35" t="s">
        <v>328</v>
      </c>
    </row>
    <row r="71" spans="1:5" ht="45" customHeight="1" x14ac:dyDescent="0.25">
      <c r="A71" s="37" t="s">
        <v>326</v>
      </c>
      <c r="B71" s="37" t="s">
        <v>329</v>
      </c>
      <c r="C71" s="38" t="s">
        <v>210</v>
      </c>
      <c r="D71" s="37" t="s">
        <v>155</v>
      </c>
      <c r="E71" s="37" t="s">
        <v>330</v>
      </c>
    </row>
    <row r="72" spans="1:5" ht="45" customHeight="1" x14ac:dyDescent="0.25">
      <c r="A72" s="35" t="s">
        <v>326</v>
      </c>
      <c r="B72" s="35" t="s">
        <v>216</v>
      </c>
      <c r="C72" s="36" t="s">
        <v>210</v>
      </c>
      <c r="D72" s="35" t="s">
        <v>146</v>
      </c>
      <c r="E72" s="35" t="s">
        <v>217</v>
      </c>
    </row>
    <row r="73" spans="1:5" ht="45" customHeight="1" x14ac:dyDescent="0.25">
      <c r="A73" s="37" t="s">
        <v>331</v>
      </c>
      <c r="B73" s="37" t="s">
        <v>332</v>
      </c>
      <c r="C73" s="38" t="s">
        <v>333</v>
      </c>
      <c r="D73" s="37" t="s">
        <v>146</v>
      </c>
      <c r="E73" s="37" t="s">
        <v>334</v>
      </c>
    </row>
    <row r="74" spans="1:5" ht="45" customHeight="1" x14ac:dyDescent="0.25">
      <c r="A74" s="35" t="s">
        <v>331</v>
      </c>
      <c r="B74" s="35" t="s">
        <v>243</v>
      </c>
      <c r="C74" s="36" t="s">
        <v>210</v>
      </c>
      <c r="D74" s="35" t="s">
        <v>244</v>
      </c>
      <c r="E74" s="35" t="s">
        <v>335</v>
      </c>
    </row>
    <row r="75" spans="1:5" ht="45" customHeight="1" x14ac:dyDescent="0.25">
      <c r="A75" s="37" t="s">
        <v>331</v>
      </c>
      <c r="B75" s="37" t="s">
        <v>336</v>
      </c>
      <c r="C75" s="38" t="s">
        <v>210</v>
      </c>
      <c r="D75" s="37" t="s">
        <v>152</v>
      </c>
      <c r="E75" s="37" t="s">
        <v>337</v>
      </c>
    </row>
    <row r="76" spans="1:5" ht="45" customHeight="1" x14ac:dyDescent="0.25">
      <c r="A76" s="35" t="s">
        <v>331</v>
      </c>
      <c r="B76" s="35" t="s">
        <v>338</v>
      </c>
      <c r="C76" s="36" t="s">
        <v>210</v>
      </c>
      <c r="D76" s="35" t="s">
        <v>152</v>
      </c>
      <c r="E76" s="35" t="s">
        <v>339</v>
      </c>
    </row>
    <row r="77" spans="1:5" ht="45" customHeight="1" x14ac:dyDescent="0.25">
      <c r="A77" s="37" t="s">
        <v>331</v>
      </c>
      <c r="B77" s="37" t="s">
        <v>340</v>
      </c>
      <c r="C77" s="38" t="s">
        <v>210</v>
      </c>
      <c r="D77" s="37" t="s">
        <v>149</v>
      </c>
      <c r="E77" s="37" t="s">
        <v>341</v>
      </c>
    </row>
    <row r="78" spans="1:5" ht="45" customHeight="1" x14ac:dyDescent="0.25">
      <c r="A78" s="35" t="s">
        <v>331</v>
      </c>
      <c r="B78" s="35" t="s">
        <v>216</v>
      </c>
      <c r="C78" s="36" t="s">
        <v>210</v>
      </c>
      <c r="D78" s="35" t="s">
        <v>146</v>
      </c>
      <c r="E78" s="35" t="s">
        <v>217</v>
      </c>
    </row>
    <row r="79" spans="1:5" ht="45" customHeight="1" x14ac:dyDescent="0.25">
      <c r="A79" s="37" t="s">
        <v>331</v>
      </c>
      <c r="B79" s="37" t="s">
        <v>342</v>
      </c>
      <c r="C79" s="38" t="s">
        <v>210</v>
      </c>
      <c r="D79" s="37" t="s">
        <v>155</v>
      </c>
      <c r="E79" s="37" t="s">
        <v>343</v>
      </c>
    </row>
    <row r="80" spans="1:5" ht="45" customHeight="1" x14ac:dyDescent="0.25">
      <c r="A80" s="35" t="s">
        <v>344</v>
      </c>
      <c r="B80" s="35" t="s">
        <v>345</v>
      </c>
      <c r="C80" s="36" t="s">
        <v>210</v>
      </c>
      <c r="D80" s="35" t="s">
        <v>152</v>
      </c>
      <c r="E80" s="35" t="s">
        <v>346</v>
      </c>
    </row>
    <row r="81" spans="1:5" ht="45" customHeight="1" x14ac:dyDescent="0.25">
      <c r="A81" s="37" t="s">
        <v>344</v>
      </c>
      <c r="B81" s="37" t="s">
        <v>347</v>
      </c>
      <c r="C81" s="38" t="s">
        <v>210</v>
      </c>
      <c r="D81" s="37" t="s">
        <v>155</v>
      </c>
      <c r="E81" s="37" t="s">
        <v>348</v>
      </c>
    </row>
    <row r="82" spans="1:5" ht="45" customHeight="1" x14ac:dyDescent="0.25">
      <c r="A82" s="35" t="s">
        <v>349</v>
      </c>
      <c r="B82" s="35" t="s">
        <v>342</v>
      </c>
      <c r="C82" s="36" t="s">
        <v>210</v>
      </c>
      <c r="D82" s="35" t="s">
        <v>155</v>
      </c>
      <c r="E82" s="35" t="s">
        <v>350</v>
      </c>
    </row>
    <row r="83" spans="1:5" ht="45" customHeight="1" x14ac:dyDescent="0.25">
      <c r="A83" s="37" t="s">
        <v>349</v>
      </c>
      <c r="B83" s="37" t="s">
        <v>216</v>
      </c>
      <c r="C83" s="38" t="s">
        <v>210</v>
      </c>
      <c r="D83" s="37" t="s">
        <v>146</v>
      </c>
      <c r="E83" s="37" t="s">
        <v>217</v>
      </c>
    </row>
    <row r="84" spans="1:5" ht="45" customHeight="1" x14ac:dyDescent="0.25">
      <c r="A84" s="35" t="s">
        <v>351</v>
      </c>
      <c r="B84" s="35" t="s">
        <v>352</v>
      </c>
      <c r="C84" s="36" t="s">
        <v>210</v>
      </c>
      <c r="D84" s="35" t="s">
        <v>146</v>
      </c>
      <c r="E84" s="35" t="s">
        <v>353</v>
      </c>
    </row>
    <row r="85" spans="1:5" ht="45" customHeight="1" x14ac:dyDescent="0.25">
      <c r="A85" s="37" t="s">
        <v>351</v>
      </c>
      <c r="B85" s="37" t="s">
        <v>216</v>
      </c>
      <c r="C85" s="38" t="s">
        <v>210</v>
      </c>
      <c r="D85" s="37" t="s">
        <v>146</v>
      </c>
      <c r="E85" s="37" t="s">
        <v>217</v>
      </c>
    </row>
    <row r="86" spans="1:5" ht="45" customHeight="1" x14ac:dyDescent="0.25">
      <c r="A86" s="35" t="s">
        <v>354</v>
      </c>
      <c r="B86" s="35" t="s">
        <v>285</v>
      </c>
      <c r="C86" s="36" t="s">
        <v>210</v>
      </c>
      <c r="D86" s="35" t="s">
        <v>146</v>
      </c>
      <c r="E86" s="35" t="s">
        <v>355</v>
      </c>
    </row>
    <row r="87" spans="1:5" ht="45" customHeight="1" x14ac:dyDescent="0.25">
      <c r="A87" s="37" t="s">
        <v>354</v>
      </c>
      <c r="B87" s="37" t="s">
        <v>336</v>
      </c>
      <c r="C87" s="38" t="s">
        <v>210</v>
      </c>
      <c r="D87" s="37" t="s">
        <v>152</v>
      </c>
      <c r="E87" s="37" t="s">
        <v>356</v>
      </c>
    </row>
    <row r="88" spans="1:5" ht="45" customHeight="1" x14ac:dyDescent="0.25">
      <c r="A88" s="35" t="s">
        <v>354</v>
      </c>
      <c r="B88" s="35" t="s">
        <v>357</v>
      </c>
      <c r="C88" s="36" t="s">
        <v>210</v>
      </c>
      <c r="D88" s="35" t="s">
        <v>155</v>
      </c>
      <c r="E88" s="35" t="s">
        <v>358</v>
      </c>
    </row>
    <row r="89" spans="1:5" ht="45" customHeight="1" x14ac:dyDescent="0.25">
      <c r="A89" s="37" t="s">
        <v>354</v>
      </c>
      <c r="B89" s="37" t="s">
        <v>359</v>
      </c>
      <c r="C89" s="38" t="s">
        <v>210</v>
      </c>
      <c r="D89" s="37" t="s">
        <v>155</v>
      </c>
      <c r="E89" s="37" t="s">
        <v>360</v>
      </c>
    </row>
    <row r="90" spans="1:5" ht="45" customHeight="1" x14ac:dyDescent="0.25">
      <c r="A90" s="35" t="s">
        <v>361</v>
      </c>
      <c r="B90" s="35" t="s">
        <v>216</v>
      </c>
      <c r="C90" s="36" t="s">
        <v>210</v>
      </c>
      <c r="D90" s="35" t="s">
        <v>146</v>
      </c>
      <c r="E90" s="35" t="s">
        <v>362</v>
      </c>
    </row>
    <row r="91" spans="1:5" ht="45" customHeight="1" x14ac:dyDescent="0.25">
      <c r="A91" s="37" t="s">
        <v>363</v>
      </c>
      <c r="B91" s="37" t="s">
        <v>364</v>
      </c>
      <c r="C91" s="38" t="s">
        <v>210</v>
      </c>
      <c r="D91" s="37" t="s">
        <v>155</v>
      </c>
      <c r="E91" s="37" t="s">
        <v>365</v>
      </c>
    </row>
    <row r="92" spans="1:5" ht="45" customHeight="1" x14ac:dyDescent="0.25">
      <c r="A92" s="35" t="s">
        <v>363</v>
      </c>
      <c r="B92" s="35" t="s">
        <v>216</v>
      </c>
      <c r="C92" s="36" t="s">
        <v>210</v>
      </c>
      <c r="D92" s="35" t="s">
        <v>146</v>
      </c>
      <c r="E92" s="35" t="s">
        <v>217</v>
      </c>
    </row>
    <row r="93" spans="1:5" ht="45" customHeight="1" x14ac:dyDescent="0.25">
      <c r="A93" s="37" t="s">
        <v>366</v>
      </c>
      <c r="B93" s="37" t="s">
        <v>216</v>
      </c>
      <c r="C93" s="38" t="s">
        <v>210</v>
      </c>
      <c r="D93" s="37" t="s">
        <v>146</v>
      </c>
      <c r="E93" s="37" t="s">
        <v>217</v>
      </c>
    </row>
    <row r="94" spans="1:5" ht="45" customHeight="1" x14ac:dyDescent="0.25">
      <c r="A94" s="35" t="s">
        <v>367</v>
      </c>
      <c r="B94" s="35" t="s">
        <v>368</v>
      </c>
      <c r="C94" s="36" t="s">
        <v>210</v>
      </c>
      <c r="D94" s="35" t="s">
        <v>155</v>
      </c>
      <c r="E94" s="35" t="s">
        <v>369</v>
      </c>
    </row>
    <row r="95" spans="1:5" ht="45" customHeight="1" x14ac:dyDescent="0.25">
      <c r="A95" s="37" t="s">
        <v>367</v>
      </c>
      <c r="B95" s="37" t="s">
        <v>370</v>
      </c>
      <c r="C95" s="38" t="s">
        <v>210</v>
      </c>
      <c r="D95" s="37" t="s">
        <v>155</v>
      </c>
      <c r="E95" s="37" t="s">
        <v>371</v>
      </c>
    </row>
    <row r="96" spans="1:5" ht="45" customHeight="1" x14ac:dyDescent="0.25">
      <c r="A96" s="35" t="s">
        <v>367</v>
      </c>
      <c r="B96" s="35" t="s">
        <v>216</v>
      </c>
      <c r="C96" s="36" t="s">
        <v>210</v>
      </c>
      <c r="D96" s="35" t="s">
        <v>146</v>
      </c>
      <c r="E96" s="35" t="s">
        <v>217</v>
      </c>
    </row>
    <row r="97" spans="1:5" ht="45" customHeight="1" x14ac:dyDescent="0.25">
      <c r="A97" s="37" t="s">
        <v>367</v>
      </c>
      <c r="B97" s="37" t="s">
        <v>372</v>
      </c>
      <c r="C97" s="38" t="s">
        <v>210</v>
      </c>
      <c r="D97" s="37" t="s">
        <v>161</v>
      </c>
      <c r="E97" s="37" t="s">
        <v>373</v>
      </c>
    </row>
    <row r="98" spans="1:5" ht="45" customHeight="1" x14ac:dyDescent="0.25">
      <c r="A98" s="35" t="s">
        <v>374</v>
      </c>
      <c r="B98" s="35" t="s">
        <v>375</v>
      </c>
      <c r="C98" s="36" t="s">
        <v>210</v>
      </c>
      <c r="D98" s="35" t="s">
        <v>155</v>
      </c>
      <c r="E98" s="35" t="s">
        <v>376</v>
      </c>
    </row>
    <row r="99" spans="1:5" ht="45" customHeight="1" x14ac:dyDescent="0.25">
      <c r="A99" s="37" t="s">
        <v>374</v>
      </c>
      <c r="B99" s="37" t="s">
        <v>247</v>
      </c>
      <c r="C99" s="38" t="s">
        <v>210</v>
      </c>
      <c r="D99" s="37" t="s">
        <v>155</v>
      </c>
      <c r="E99" s="37" t="s">
        <v>377</v>
      </c>
    </row>
    <row r="100" spans="1:5" ht="45" customHeight="1" x14ac:dyDescent="0.25">
      <c r="A100" s="35" t="s">
        <v>374</v>
      </c>
      <c r="B100" s="35" t="s">
        <v>232</v>
      </c>
      <c r="C100" s="36" t="s">
        <v>210</v>
      </c>
      <c r="D100" s="35" t="s">
        <v>146</v>
      </c>
      <c r="E100" s="35" t="s">
        <v>217</v>
      </c>
    </row>
    <row r="101" spans="1:5" ht="45" customHeight="1" x14ac:dyDescent="0.25">
      <c r="A101" s="37" t="s">
        <v>374</v>
      </c>
      <c r="B101" s="37" t="s">
        <v>249</v>
      </c>
      <c r="C101" s="38" t="s">
        <v>210</v>
      </c>
      <c r="D101" s="37" t="s">
        <v>149</v>
      </c>
      <c r="E101" s="37" t="s">
        <v>378</v>
      </c>
    </row>
    <row r="102" spans="1:5" ht="45" customHeight="1" x14ac:dyDescent="0.25">
      <c r="A102" s="35" t="s">
        <v>374</v>
      </c>
      <c r="B102" s="35" t="s">
        <v>251</v>
      </c>
      <c r="C102" s="36" t="s">
        <v>210</v>
      </c>
      <c r="D102" s="35" t="s">
        <v>149</v>
      </c>
      <c r="E102" s="35" t="s">
        <v>252</v>
      </c>
    </row>
    <row r="103" spans="1:5" ht="45" customHeight="1" x14ac:dyDescent="0.25">
      <c r="A103" s="37" t="s">
        <v>379</v>
      </c>
      <c r="B103" s="37" t="s">
        <v>247</v>
      </c>
      <c r="C103" s="38" t="s">
        <v>210</v>
      </c>
      <c r="D103" s="37" t="s">
        <v>155</v>
      </c>
      <c r="E103" s="37" t="s">
        <v>380</v>
      </c>
    </row>
    <row r="104" spans="1:5" ht="45" customHeight="1" x14ac:dyDescent="0.25">
      <c r="A104" s="35" t="s">
        <v>379</v>
      </c>
      <c r="B104" s="35" t="s">
        <v>329</v>
      </c>
      <c r="C104" s="36" t="s">
        <v>210</v>
      </c>
      <c r="D104" s="35" t="s">
        <v>155</v>
      </c>
      <c r="E104" s="35" t="s">
        <v>381</v>
      </c>
    </row>
    <row r="105" spans="1:5" ht="45" customHeight="1" x14ac:dyDescent="0.25">
      <c r="A105" s="37" t="s">
        <v>379</v>
      </c>
      <c r="B105" s="37" t="s">
        <v>382</v>
      </c>
      <c r="C105" s="38" t="s">
        <v>210</v>
      </c>
      <c r="D105" s="37" t="s">
        <v>155</v>
      </c>
      <c r="E105" s="37" t="s">
        <v>383</v>
      </c>
    </row>
    <row r="106" spans="1:5" ht="45" customHeight="1" x14ac:dyDescent="0.25">
      <c r="A106" s="35" t="s">
        <v>379</v>
      </c>
      <c r="B106" s="35" t="s">
        <v>216</v>
      </c>
      <c r="C106" s="36" t="s">
        <v>210</v>
      </c>
      <c r="D106" s="35" t="s">
        <v>146</v>
      </c>
      <c r="E106" s="35" t="s">
        <v>384</v>
      </c>
    </row>
    <row r="107" spans="1:5" ht="45" customHeight="1" x14ac:dyDescent="0.25">
      <c r="A107" s="37" t="s">
        <v>385</v>
      </c>
      <c r="B107" s="37" t="s">
        <v>329</v>
      </c>
      <c r="C107" s="38" t="s">
        <v>210</v>
      </c>
      <c r="D107" s="37" t="s">
        <v>155</v>
      </c>
      <c r="E107" s="37" t="s">
        <v>386</v>
      </c>
    </row>
    <row r="108" spans="1:5" ht="45" customHeight="1" x14ac:dyDescent="0.25">
      <c r="A108" s="35" t="s">
        <v>385</v>
      </c>
      <c r="B108" s="35" t="s">
        <v>216</v>
      </c>
      <c r="C108" s="36" t="s">
        <v>210</v>
      </c>
      <c r="D108" s="35" t="s">
        <v>146</v>
      </c>
      <c r="E108" s="35" t="s">
        <v>217</v>
      </c>
    </row>
    <row r="109" spans="1:5" ht="45" customHeight="1" x14ac:dyDescent="0.25">
      <c r="A109" s="37" t="s">
        <v>385</v>
      </c>
      <c r="B109" s="37" t="s">
        <v>249</v>
      </c>
      <c r="C109" s="38" t="s">
        <v>210</v>
      </c>
      <c r="D109" s="37" t="s">
        <v>149</v>
      </c>
      <c r="E109" s="37" t="s">
        <v>387</v>
      </c>
    </row>
    <row r="110" spans="1:5" ht="45" customHeight="1" x14ac:dyDescent="0.25">
      <c r="A110" s="35" t="s">
        <v>385</v>
      </c>
      <c r="B110" s="35" t="s">
        <v>251</v>
      </c>
      <c r="C110" s="36" t="s">
        <v>210</v>
      </c>
      <c r="D110" s="35" t="s">
        <v>149</v>
      </c>
      <c r="E110" s="35" t="s">
        <v>252</v>
      </c>
    </row>
    <row r="111" spans="1:5" ht="45" customHeight="1" x14ac:dyDescent="0.25">
      <c r="A111" s="37" t="s">
        <v>388</v>
      </c>
      <c r="B111" s="37" t="s">
        <v>247</v>
      </c>
      <c r="C111" s="38" t="s">
        <v>210</v>
      </c>
      <c r="D111" s="37" t="s">
        <v>155</v>
      </c>
      <c r="E111" s="37" t="s">
        <v>389</v>
      </c>
    </row>
    <row r="112" spans="1:5" ht="45" customHeight="1" x14ac:dyDescent="0.25">
      <c r="A112" s="35" t="s">
        <v>388</v>
      </c>
      <c r="B112" s="35" t="s">
        <v>216</v>
      </c>
      <c r="C112" s="36" t="s">
        <v>210</v>
      </c>
      <c r="D112" s="35" t="s">
        <v>146</v>
      </c>
      <c r="E112" s="35" t="s">
        <v>217</v>
      </c>
    </row>
    <row r="113" spans="1:5" ht="45" customHeight="1" x14ac:dyDescent="0.25">
      <c r="A113" s="37" t="s">
        <v>390</v>
      </c>
      <c r="B113" s="37" t="s">
        <v>324</v>
      </c>
      <c r="C113" s="38" t="s">
        <v>210</v>
      </c>
      <c r="D113" s="37" t="s">
        <v>152</v>
      </c>
      <c r="E113" s="37" t="s">
        <v>325</v>
      </c>
    </row>
    <row r="114" spans="1:5" ht="45" customHeight="1" x14ac:dyDescent="0.25">
      <c r="A114" s="35" t="s">
        <v>390</v>
      </c>
      <c r="B114" s="35" t="s">
        <v>391</v>
      </c>
      <c r="C114" s="36" t="s">
        <v>210</v>
      </c>
      <c r="D114" s="35" t="s">
        <v>149</v>
      </c>
      <c r="E114" s="35" t="s">
        <v>392</v>
      </c>
    </row>
    <row r="115" spans="1:5" ht="45" customHeight="1" x14ac:dyDescent="0.25">
      <c r="A115" s="37" t="s">
        <v>390</v>
      </c>
      <c r="B115" s="37" t="s">
        <v>216</v>
      </c>
      <c r="C115" s="38" t="s">
        <v>210</v>
      </c>
      <c r="D115" s="37" t="s">
        <v>146</v>
      </c>
      <c r="E115" s="37" t="s">
        <v>217</v>
      </c>
    </row>
    <row r="116" spans="1:5" ht="45" customHeight="1" x14ac:dyDescent="0.25">
      <c r="A116" s="35" t="s">
        <v>393</v>
      </c>
      <c r="B116" s="35" t="s">
        <v>216</v>
      </c>
      <c r="C116" s="36" t="s">
        <v>210</v>
      </c>
      <c r="D116" s="35" t="s">
        <v>146</v>
      </c>
      <c r="E116" s="35" t="s">
        <v>394</v>
      </c>
    </row>
    <row r="117" spans="1:5" ht="45" customHeight="1" x14ac:dyDescent="0.25">
      <c r="A117" s="37" t="s">
        <v>395</v>
      </c>
      <c r="B117" s="37" t="s">
        <v>396</v>
      </c>
      <c r="C117" s="38" t="s">
        <v>210</v>
      </c>
      <c r="D117" s="37" t="s">
        <v>149</v>
      </c>
      <c r="E117" s="37" t="s">
        <v>397</v>
      </c>
    </row>
    <row r="118" spans="1:5" ht="45" customHeight="1" x14ac:dyDescent="0.25">
      <c r="A118" s="35" t="s">
        <v>395</v>
      </c>
      <c r="B118" s="35" t="s">
        <v>216</v>
      </c>
      <c r="C118" s="36" t="s">
        <v>210</v>
      </c>
      <c r="D118" s="35" t="s">
        <v>146</v>
      </c>
      <c r="E118" s="35" t="s">
        <v>398</v>
      </c>
    </row>
    <row r="119" spans="1:5" ht="45" customHeight="1" x14ac:dyDescent="0.25">
      <c r="A119" s="37" t="s">
        <v>399</v>
      </c>
      <c r="B119" s="37" t="s">
        <v>364</v>
      </c>
      <c r="C119" s="38" t="s">
        <v>210</v>
      </c>
      <c r="D119" s="37" t="s">
        <v>155</v>
      </c>
      <c r="E119" s="37" t="s">
        <v>400</v>
      </c>
    </row>
    <row r="120" spans="1:5" ht="45" customHeight="1" x14ac:dyDescent="0.25">
      <c r="A120" s="35" t="s">
        <v>399</v>
      </c>
      <c r="B120" s="35" t="s">
        <v>216</v>
      </c>
      <c r="C120" s="36" t="s">
        <v>210</v>
      </c>
      <c r="D120" s="35" t="s">
        <v>146</v>
      </c>
      <c r="E120" s="35" t="s">
        <v>362</v>
      </c>
    </row>
    <row r="121" spans="1:5" ht="45" customHeight="1" x14ac:dyDescent="0.25">
      <c r="A121" s="37" t="s">
        <v>401</v>
      </c>
      <c r="B121" s="37" t="s">
        <v>364</v>
      </c>
      <c r="C121" s="38" t="s">
        <v>210</v>
      </c>
      <c r="D121" s="37" t="s">
        <v>155</v>
      </c>
      <c r="E121" s="37" t="s">
        <v>402</v>
      </c>
    </row>
    <row r="122" spans="1:5" ht="45" customHeight="1" x14ac:dyDescent="0.25">
      <c r="A122" s="35" t="s">
        <v>401</v>
      </c>
      <c r="B122" s="35" t="s">
        <v>216</v>
      </c>
      <c r="C122" s="36" t="s">
        <v>210</v>
      </c>
      <c r="D122" s="35" t="s">
        <v>146</v>
      </c>
      <c r="E122" s="35" t="s">
        <v>217</v>
      </c>
    </row>
    <row r="123" spans="1:5" ht="45" customHeight="1" x14ac:dyDescent="0.25">
      <c r="A123" s="37" t="s">
        <v>403</v>
      </c>
      <c r="B123" s="37" t="s">
        <v>404</v>
      </c>
      <c r="C123" s="38" t="s">
        <v>210</v>
      </c>
      <c r="D123" s="37" t="s">
        <v>149</v>
      </c>
      <c r="E123" s="37" t="s">
        <v>405</v>
      </c>
    </row>
    <row r="124" spans="1:5" ht="45" customHeight="1" x14ac:dyDescent="0.25">
      <c r="A124" s="35" t="s">
        <v>403</v>
      </c>
      <c r="B124" s="35" t="s">
        <v>406</v>
      </c>
      <c r="C124" s="36" t="s">
        <v>210</v>
      </c>
      <c r="D124" s="35" t="s">
        <v>155</v>
      </c>
      <c r="E124" s="35" t="s">
        <v>407</v>
      </c>
    </row>
    <row r="125" spans="1:5" ht="45" customHeight="1" x14ac:dyDescent="0.25">
      <c r="A125" s="37" t="s">
        <v>403</v>
      </c>
      <c r="B125" s="37" t="s">
        <v>216</v>
      </c>
      <c r="C125" s="38" t="s">
        <v>210</v>
      </c>
      <c r="D125" s="37" t="s">
        <v>146</v>
      </c>
      <c r="E125" s="37" t="s">
        <v>217</v>
      </c>
    </row>
    <row r="126" spans="1:5" ht="45" customHeight="1" x14ac:dyDescent="0.25">
      <c r="A126" s="35" t="s">
        <v>403</v>
      </c>
      <c r="B126" s="35" t="s">
        <v>408</v>
      </c>
      <c r="C126" s="36" t="s">
        <v>210</v>
      </c>
      <c r="D126" s="35" t="s">
        <v>149</v>
      </c>
      <c r="E126" s="35" t="s">
        <v>409</v>
      </c>
    </row>
    <row r="127" spans="1:5" ht="45" customHeight="1" x14ac:dyDescent="0.25">
      <c r="A127" s="37" t="s">
        <v>403</v>
      </c>
      <c r="B127" s="37" t="s">
        <v>410</v>
      </c>
      <c r="C127" s="38" t="s">
        <v>210</v>
      </c>
      <c r="D127" s="37" t="s">
        <v>149</v>
      </c>
      <c r="E127" s="37" t="s">
        <v>252</v>
      </c>
    </row>
    <row r="128" spans="1:5" ht="45" customHeight="1" x14ac:dyDescent="0.25">
      <c r="A128" s="35" t="s">
        <v>403</v>
      </c>
      <c r="B128" s="35" t="s">
        <v>411</v>
      </c>
      <c r="C128" s="36" t="s">
        <v>210</v>
      </c>
      <c r="D128" s="35" t="s">
        <v>149</v>
      </c>
      <c r="E128" s="35" t="s">
        <v>412</v>
      </c>
    </row>
    <row r="129" spans="1:5" ht="45" customHeight="1" x14ac:dyDescent="0.25">
      <c r="A129" s="37" t="s">
        <v>403</v>
      </c>
      <c r="B129" s="37" t="s">
        <v>413</v>
      </c>
      <c r="C129" s="38" t="s">
        <v>210</v>
      </c>
      <c r="D129" s="37" t="s">
        <v>149</v>
      </c>
      <c r="E129" s="37" t="s">
        <v>252</v>
      </c>
    </row>
    <row r="130" spans="1:5" ht="45" customHeight="1" x14ac:dyDescent="0.25">
      <c r="A130" s="35" t="s">
        <v>414</v>
      </c>
      <c r="B130" s="35" t="s">
        <v>415</v>
      </c>
      <c r="C130" s="36" t="s">
        <v>210</v>
      </c>
      <c r="D130" s="35" t="s">
        <v>149</v>
      </c>
      <c r="E130" s="35" t="s">
        <v>416</v>
      </c>
    </row>
    <row r="131" spans="1:5" ht="45" customHeight="1" x14ac:dyDescent="0.25">
      <c r="A131" s="37" t="s">
        <v>414</v>
      </c>
      <c r="B131" s="37" t="s">
        <v>417</v>
      </c>
      <c r="C131" s="38" t="s">
        <v>210</v>
      </c>
      <c r="D131" s="37" t="s">
        <v>149</v>
      </c>
      <c r="E131" s="37" t="s">
        <v>418</v>
      </c>
    </row>
    <row r="132" spans="1:5" ht="45" customHeight="1" x14ac:dyDescent="0.25">
      <c r="A132" s="35" t="s">
        <v>414</v>
      </c>
      <c r="B132" s="35" t="s">
        <v>419</v>
      </c>
      <c r="C132" s="36" t="s">
        <v>210</v>
      </c>
      <c r="D132" s="35" t="s">
        <v>149</v>
      </c>
      <c r="E132" s="35" t="s">
        <v>420</v>
      </c>
    </row>
    <row r="133" spans="1:5" ht="45" customHeight="1" x14ac:dyDescent="0.25">
      <c r="A133" s="37" t="s">
        <v>414</v>
      </c>
      <c r="B133" s="37" t="s">
        <v>406</v>
      </c>
      <c r="C133" s="38" t="s">
        <v>210</v>
      </c>
      <c r="D133" s="37" t="s">
        <v>155</v>
      </c>
      <c r="E133" s="37" t="s">
        <v>421</v>
      </c>
    </row>
    <row r="134" spans="1:5" ht="45" customHeight="1" x14ac:dyDescent="0.25">
      <c r="A134" s="35" t="s">
        <v>414</v>
      </c>
      <c r="B134" s="35" t="s">
        <v>216</v>
      </c>
      <c r="C134" s="36" t="s">
        <v>210</v>
      </c>
      <c r="D134" s="35" t="s">
        <v>146</v>
      </c>
      <c r="E134" s="35" t="s">
        <v>217</v>
      </c>
    </row>
    <row r="135" spans="1:5" ht="45" customHeight="1" x14ac:dyDescent="0.25">
      <c r="A135" s="37" t="s">
        <v>414</v>
      </c>
      <c r="B135" s="37" t="s">
        <v>422</v>
      </c>
      <c r="C135" s="38" t="s">
        <v>210</v>
      </c>
      <c r="D135" s="37" t="s">
        <v>161</v>
      </c>
      <c r="E135" s="37" t="s">
        <v>423</v>
      </c>
    </row>
    <row r="136" spans="1:5" ht="45" customHeight="1" x14ac:dyDescent="0.25">
      <c r="A136" s="35" t="s">
        <v>414</v>
      </c>
      <c r="B136" s="35" t="s">
        <v>424</v>
      </c>
      <c r="C136" s="36" t="s">
        <v>210</v>
      </c>
      <c r="D136" s="35" t="s">
        <v>149</v>
      </c>
      <c r="E136" s="35" t="s">
        <v>425</v>
      </c>
    </row>
    <row r="137" spans="1:5" ht="45" customHeight="1" x14ac:dyDescent="0.25">
      <c r="A137" s="37" t="s">
        <v>414</v>
      </c>
      <c r="B137" s="37" t="s">
        <v>426</v>
      </c>
      <c r="C137" s="38" t="s">
        <v>210</v>
      </c>
      <c r="D137" s="37" t="s">
        <v>149</v>
      </c>
      <c r="E137" s="37" t="s">
        <v>252</v>
      </c>
    </row>
    <row r="138" spans="1:5" ht="45" customHeight="1" x14ac:dyDescent="0.25">
      <c r="A138" s="35" t="s">
        <v>427</v>
      </c>
      <c r="B138" s="35" t="s">
        <v>428</v>
      </c>
      <c r="C138" s="36" t="s">
        <v>210</v>
      </c>
      <c r="D138" s="35" t="s">
        <v>155</v>
      </c>
      <c r="E138" s="35" t="s">
        <v>429</v>
      </c>
    </row>
    <row r="139" spans="1:5" ht="45" customHeight="1" x14ac:dyDescent="0.25">
      <c r="A139" s="37" t="s">
        <v>427</v>
      </c>
      <c r="B139" s="37" t="s">
        <v>216</v>
      </c>
      <c r="C139" s="38" t="s">
        <v>210</v>
      </c>
      <c r="D139" s="37" t="s">
        <v>146</v>
      </c>
      <c r="E139" s="37" t="s">
        <v>217</v>
      </c>
    </row>
    <row r="140" spans="1:5" ht="45" customHeight="1" x14ac:dyDescent="0.25">
      <c r="A140" s="35" t="s">
        <v>430</v>
      </c>
      <c r="B140" s="35" t="s">
        <v>431</v>
      </c>
      <c r="C140" s="36" t="s">
        <v>210</v>
      </c>
      <c r="D140" s="35" t="s">
        <v>152</v>
      </c>
      <c r="E140" s="35" t="s">
        <v>432</v>
      </c>
    </row>
    <row r="141" spans="1:5" ht="45" customHeight="1" x14ac:dyDescent="0.25">
      <c r="A141" s="37" t="s">
        <v>430</v>
      </c>
      <c r="B141" s="37" t="s">
        <v>433</v>
      </c>
      <c r="C141" s="38" t="s">
        <v>210</v>
      </c>
      <c r="D141" s="37" t="s">
        <v>155</v>
      </c>
      <c r="E141" s="37" t="s">
        <v>434</v>
      </c>
    </row>
    <row r="142" spans="1:5" ht="45" customHeight="1" x14ac:dyDescent="0.25">
      <c r="A142" s="35" t="s">
        <v>430</v>
      </c>
      <c r="B142" s="35" t="s">
        <v>435</v>
      </c>
      <c r="C142" s="36" t="s">
        <v>210</v>
      </c>
      <c r="D142" s="35" t="s">
        <v>155</v>
      </c>
      <c r="E142" s="35" t="s">
        <v>369</v>
      </c>
    </row>
    <row r="143" spans="1:5" ht="45" customHeight="1" x14ac:dyDescent="0.25">
      <c r="A143" s="37" t="s">
        <v>430</v>
      </c>
      <c r="B143" s="37" t="s">
        <v>436</v>
      </c>
      <c r="C143" s="38" t="s">
        <v>210</v>
      </c>
      <c r="D143" s="37" t="s">
        <v>155</v>
      </c>
      <c r="E143" s="37" t="s">
        <v>437</v>
      </c>
    </row>
    <row r="144" spans="1:5" ht="45" customHeight="1" x14ac:dyDescent="0.25">
      <c r="A144" s="35" t="s">
        <v>430</v>
      </c>
      <c r="B144" s="35" t="s">
        <v>438</v>
      </c>
      <c r="C144" s="36" t="s">
        <v>210</v>
      </c>
      <c r="D144" s="35" t="s">
        <v>155</v>
      </c>
      <c r="E144" s="35" t="s">
        <v>439</v>
      </c>
    </row>
    <row r="145" spans="1:5" ht="45" customHeight="1" x14ac:dyDescent="0.25">
      <c r="A145" s="37" t="s">
        <v>430</v>
      </c>
      <c r="B145" s="37" t="s">
        <v>216</v>
      </c>
      <c r="C145" s="38" t="s">
        <v>210</v>
      </c>
      <c r="D145" s="37" t="s">
        <v>146</v>
      </c>
      <c r="E145" s="37" t="s">
        <v>217</v>
      </c>
    </row>
    <row r="146" spans="1:5" ht="45" customHeight="1" x14ac:dyDescent="0.25">
      <c r="A146" s="35" t="s">
        <v>430</v>
      </c>
      <c r="B146" s="35" t="s">
        <v>440</v>
      </c>
      <c r="C146" s="36" t="s">
        <v>210</v>
      </c>
      <c r="D146" s="35" t="s">
        <v>149</v>
      </c>
      <c r="E146" s="35" t="s">
        <v>441</v>
      </c>
    </row>
    <row r="147" spans="1:5" ht="45" customHeight="1" x14ac:dyDescent="0.25">
      <c r="A147" s="37" t="s">
        <v>430</v>
      </c>
      <c r="B147" s="37" t="s">
        <v>442</v>
      </c>
      <c r="C147" s="38" t="s">
        <v>210</v>
      </c>
      <c r="D147" s="37" t="s">
        <v>149</v>
      </c>
      <c r="E147" s="37" t="s">
        <v>252</v>
      </c>
    </row>
    <row r="148" spans="1:5" ht="45" customHeight="1" x14ac:dyDescent="0.25">
      <c r="A148" s="35" t="s">
        <v>443</v>
      </c>
      <c r="B148" s="35" t="s">
        <v>406</v>
      </c>
      <c r="C148" s="36" t="s">
        <v>210</v>
      </c>
      <c r="D148" s="35" t="s">
        <v>155</v>
      </c>
      <c r="E148" s="35" t="s">
        <v>444</v>
      </c>
    </row>
    <row r="149" spans="1:5" ht="45" customHeight="1" x14ac:dyDescent="0.25">
      <c r="A149" s="37" t="s">
        <v>443</v>
      </c>
      <c r="B149" s="37" t="s">
        <v>445</v>
      </c>
      <c r="C149" s="38" t="s">
        <v>210</v>
      </c>
      <c r="D149" s="37" t="s">
        <v>155</v>
      </c>
      <c r="E149" s="37" t="s">
        <v>446</v>
      </c>
    </row>
    <row r="150" spans="1:5" ht="45" customHeight="1" x14ac:dyDescent="0.25">
      <c r="A150" s="35" t="s">
        <v>443</v>
      </c>
      <c r="B150" s="35" t="s">
        <v>216</v>
      </c>
      <c r="C150" s="36" t="s">
        <v>210</v>
      </c>
      <c r="D150" s="35" t="s">
        <v>146</v>
      </c>
      <c r="E150" s="35" t="s">
        <v>217</v>
      </c>
    </row>
    <row r="151" spans="1:5" ht="45" customHeight="1" x14ac:dyDescent="0.25">
      <c r="A151" s="37" t="s">
        <v>443</v>
      </c>
      <c r="B151" s="37" t="s">
        <v>424</v>
      </c>
      <c r="C151" s="38" t="s">
        <v>210</v>
      </c>
      <c r="D151" s="37" t="s">
        <v>149</v>
      </c>
      <c r="E151" s="37" t="s">
        <v>447</v>
      </c>
    </row>
    <row r="152" spans="1:5" ht="45" customHeight="1" x14ac:dyDescent="0.25">
      <c r="A152" s="35" t="s">
        <v>443</v>
      </c>
      <c r="B152" s="35" t="s">
        <v>426</v>
      </c>
      <c r="C152" s="36" t="s">
        <v>210</v>
      </c>
      <c r="D152" s="35" t="s">
        <v>149</v>
      </c>
      <c r="E152" s="35" t="s">
        <v>252</v>
      </c>
    </row>
    <row r="153" spans="1:5" ht="45" customHeight="1" x14ac:dyDescent="0.25">
      <c r="A153" s="37" t="s">
        <v>448</v>
      </c>
      <c r="B153" s="37" t="s">
        <v>449</v>
      </c>
      <c r="C153" s="38" t="s">
        <v>210</v>
      </c>
      <c r="D153" s="37" t="s">
        <v>149</v>
      </c>
      <c r="E153" s="37" t="s">
        <v>450</v>
      </c>
    </row>
    <row r="154" spans="1:5" ht="45" customHeight="1" x14ac:dyDescent="0.25">
      <c r="A154" s="35" t="s">
        <v>451</v>
      </c>
      <c r="B154" s="35" t="s">
        <v>406</v>
      </c>
      <c r="C154" s="36" t="s">
        <v>210</v>
      </c>
      <c r="D154" s="35" t="s">
        <v>155</v>
      </c>
      <c r="E154" s="35" t="s">
        <v>452</v>
      </c>
    </row>
    <row r="155" spans="1:5" ht="45" customHeight="1" x14ac:dyDescent="0.25">
      <c r="A155" s="37" t="s">
        <v>451</v>
      </c>
      <c r="B155" s="37" t="s">
        <v>216</v>
      </c>
      <c r="C155" s="38" t="s">
        <v>210</v>
      </c>
      <c r="D155" s="37" t="s">
        <v>146</v>
      </c>
      <c r="E155" s="37" t="s">
        <v>217</v>
      </c>
    </row>
    <row r="156" spans="1:5" ht="45" customHeight="1" x14ac:dyDescent="0.25">
      <c r="A156" s="35" t="s">
        <v>451</v>
      </c>
      <c r="B156" s="35" t="s">
        <v>422</v>
      </c>
      <c r="C156" s="36" t="s">
        <v>210</v>
      </c>
      <c r="D156" s="35" t="s">
        <v>161</v>
      </c>
      <c r="E156" s="35" t="s">
        <v>453</v>
      </c>
    </row>
    <row r="157" spans="1:5" ht="45" customHeight="1" x14ac:dyDescent="0.25">
      <c r="A157" s="37" t="s">
        <v>451</v>
      </c>
      <c r="B157" s="37" t="s">
        <v>424</v>
      </c>
      <c r="C157" s="38" t="s">
        <v>210</v>
      </c>
      <c r="D157" s="37" t="s">
        <v>149</v>
      </c>
      <c r="E157" s="37" t="s">
        <v>454</v>
      </c>
    </row>
    <row r="158" spans="1:5" ht="45" customHeight="1" x14ac:dyDescent="0.25">
      <c r="A158" s="35" t="s">
        <v>451</v>
      </c>
      <c r="B158" s="35" t="s">
        <v>426</v>
      </c>
      <c r="C158" s="36" t="s">
        <v>210</v>
      </c>
      <c r="D158" s="35" t="s">
        <v>149</v>
      </c>
      <c r="E158" s="35" t="s">
        <v>252</v>
      </c>
    </row>
    <row r="159" spans="1:5" ht="45" customHeight="1" x14ac:dyDescent="0.25">
      <c r="A159" s="37" t="s">
        <v>455</v>
      </c>
      <c r="B159" s="37" t="s">
        <v>406</v>
      </c>
      <c r="C159" s="38" t="s">
        <v>210</v>
      </c>
      <c r="D159" s="37" t="s">
        <v>155</v>
      </c>
      <c r="E159" s="37" t="s">
        <v>421</v>
      </c>
    </row>
    <row r="160" spans="1:5" ht="45" customHeight="1" x14ac:dyDescent="0.25">
      <c r="A160" s="35" t="s">
        <v>455</v>
      </c>
      <c r="B160" s="35" t="s">
        <v>216</v>
      </c>
      <c r="C160" s="36" t="s">
        <v>210</v>
      </c>
      <c r="D160" s="35" t="s">
        <v>146</v>
      </c>
      <c r="E160" s="35" t="s">
        <v>217</v>
      </c>
    </row>
    <row r="161" spans="1:5" ht="45" customHeight="1" x14ac:dyDescent="0.25">
      <c r="A161" s="37" t="s">
        <v>455</v>
      </c>
      <c r="B161" s="37" t="s">
        <v>424</v>
      </c>
      <c r="C161" s="38" t="s">
        <v>210</v>
      </c>
      <c r="D161" s="37" t="s">
        <v>149</v>
      </c>
      <c r="E161" s="37" t="s">
        <v>454</v>
      </c>
    </row>
    <row r="162" spans="1:5" ht="45" customHeight="1" x14ac:dyDescent="0.25">
      <c r="A162" s="35" t="s">
        <v>455</v>
      </c>
      <c r="B162" s="35" t="s">
        <v>426</v>
      </c>
      <c r="C162" s="36" t="s">
        <v>210</v>
      </c>
      <c r="D162" s="35" t="s">
        <v>149</v>
      </c>
      <c r="E162" s="35" t="s">
        <v>252</v>
      </c>
    </row>
    <row r="163" spans="1:5" ht="45" customHeight="1" x14ac:dyDescent="0.25">
      <c r="A163" s="37" t="s">
        <v>456</v>
      </c>
      <c r="B163" s="37" t="s">
        <v>457</v>
      </c>
      <c r="C163" s="38" t="s">
        <v>210</v>
      </c>
      <c r="D163" s="37" t="s">
        <v>152</v>
      </c>
      <c r="E163" s="37" t="s">
        <v>458</v>
      </c>
    </row>
    <row r="164" spans="1:5" ht="45" customHeight="1" x14ac:dyDescent="0.25">
      <c r="A164" s="35" t="s">
        <v>456</v>
      </c>
      <c r="B164" s="35" t="s">
        <v>406</v>
      </c>
      <c r="C164" s="36" t="s">
        <v>210</v>
      </c>
      <c r="D164" s="35" t="s">
        <v>155</v>
      </c>
      <c r="E164" s="35" t="s">
        <v>459</v>
      </c>
    </row>
    <row r="165" spans="1:5" ht="45" customHeight="1" x14ac:dyDescent="0.25">
      <c r="A165" s="37" t="s">
        <v>456</v>
      </c>
      <c r="B165" s="37" t="s">
        <v>216</v>
      </c>
      <c r="C165" s="38" t="s">
        <v>210</v>
      </c>
      <c r="D165" s="37" t="s">
        <v>146</v>
      </c>
      <c r="E165" s="37" t="s">
        <v>217</v>
      </c>
    </row>
    <row r="166" spans="1:5" ht="45" customHeight="1" x14ac:dyDescent="0.25">
      <c r="A166" s="35" t="s">
        <v>456</v>
      </c>
      <c r="B166" s="35" t="s">
        <v>424</v>
      </c>
      <c r="C166" s="36" t="s">
        <v>210</v>
      </c>
      <c r="D166" s="35" t="s">
        <v>149</v>
      </c>
      <c r="E166" s="35" t="s">
        <v>454</v>
      </c>
    </row>
    <row r="167" spans="1:5" ht="45" customHeight="1" x14ac:dyDescent="0.25">
      <c r="A167" s="37" t="s">
        <v>456</v>
      </c>
      <c r="B167" s="37" t="s">
        <v>426</v>
      </c>
      <c r="C167" s="38" t="s">
        <v>210</v>
      </c>
      <c r="D167" s="37" t="s">
        <v>149</v>
      </c>
      <c r="E167" s="37" t="s">
        <v>252</v>
      </c>
    </row>
    <row r="168" spans="1:5" ht="45" customHeight="1" x14ac:dyDescent="0.25">
      <c r="A168" s="35" t="s">
        <v>460</v>
      </c>
      <c r="B168" s="35" t="s">
        <v>422</v>
      </c>
      <c r="C168" s="36" t="s">
        <v>210</v>
      </c>
      <c r="D168" s="35" t="s">
        <v>161</v>
      </c>
      <c r="E168" s="35" t="s">
        <v>423</v>
      </c>
    </row>
    <row r="169" spans="1:5" ht="45" customHeight="1" x14ac:dyDescent="0.25">
      <c r="A169" s="37" t="s">
        <v>461</v>
      </c>
      <c r="B169" s="37" t="s">
        <v>433</v>
      </c>
      <c r="C169" s="38" t="s">
        <v>210</v>
      </c>
      <c r="D169" s="37" t="s">
        <v>155</v>
      </c>
      <c r="E169" s="37" t="s">
        <v>434</v>
      </c>
    </row>
    <row r="170" spans="1:5" ht="45" customHeight="1" x14ac:dyDescent="0.25">
      <c r="A170" s="35" t="s">
        <v>461</v>
      </c>
      <c r="B170" s="35" t="s">
        <v>216</v>
      </c>
      <c r="C170" s="36" t="s">
        <v>210</v>
      </c>
      <c r="D170" s="35" t="s">
        <v>146</v>
      </c>
      <c r="E170" s="35" t="s">
        <v>217</v>
      </c>
    </row>
    <row r="171" spans="1:5" ht="45" customHeight="1" x14ac:dyDescent="0.25">
      <c r="A171" s="37" t="s">
        <v>462</v>
      </c>
      <c r="B171" s="37" t="s">
        <v>463</v>
      </c>
      <c r="C171" s="38" t="s">
        <v>210</v>
      </c>
      <c r="D171" s="37" t="s">
        <v>146</v>
      </c>
      <c r="E171" s="37" t="s">
        <v>464</v>
      </c>
    </row>
    <row r="172" spans="1:5" ht="45" customHeight="1" x14ac:dyDescent="0.25">
      <c r="A172" s="35" t="s">
        <v>462</v>
      </c>
      <c r="B172" s="35" t="s">
        <v>465</v>
      </c>
      <c r="C172" s="36" t="s">
        <v>210</v>
      </c>
      <c r="D172" s="35" t="s">
        <v>146</v>
      </c>
      <c r="E172" s="35" t="s">
        <v>466</v>
      </c>
    </row>
    <row r="173" spans="1:5" ht="45" customHeight="1" x14ac:dyDescent="0.25">
      <c r="A173" s="37" t="s">
        <v>462</v>
      </c>
      <c r="B173" s="37" t="s">
        <v>433</v>
      </c>
      <c r="C173" s="38" t="s">
        <v>210</v>
      </c>
      <c r="D173" s="37" t="s">
        <v>155</v>
      </c>
      <c r="E173" s="37" t="s">
        <v>434</v>
      </c>
    </row>
    <row r="174" spans="1:5" ht="45" customHeight="1" x14ac:dyDescent="0.25">
      <c r="A174" s="35" t="s">
        <v>462</v>
      </c>
      <c r="B174" s="35" t="s">
        <v>467</v>
      </c>
      <c r="C174" s="36" t="s">
        <v>210</v>
      </c>
      <c r="D174" s="35" t="s">
        <v>155</v>
      </c>
      <c r="E174" s="35" t="s">
        <v>468</v>
      </c>
    </row>
    <row r="175" spans="1:5" ht="45" customHeight="1" x14ac:dyDescent="0.25">
      <c r="A175" s="37" t="s">
        <v>462</v>
      </c>
      <c r="B175" s="37" t="s">
        <v>469</v>
      </c>
      <c r="C175" s="38" t="s">
        <v>210</v>
      </c>
      <c r="D175" s="37" t="s">
        <v>155</v>
      </c>
      <c r="E175" s="37" t="s">
        <v>470</v>
      </c>
    </row>
    <row r="176" spans="1:5" ht="45" customHeight="1" x14ac:dyDescent="0.25">
      <c r="A176" s="35" t="s">
        <v>462</v>
      </c>
      <c r="B176" s="35" t="s">
        <v>471</v>
      </c>
      <c r="C176" s="36" t="s">
        <v>210</v>
      </c>
      <c r="D176" s="35" t="s">
        <v>155</v>
      </c>
      <c r="E176" s="35" t="s">
        <v>472</v>
      </c>
    </row>
    <row r="177" spans="1:5" ht="45" customHeight="1" x14ac:dyDescent="0.25">
      <c r="A177" s="37" t="s">
        <v>462</v>
      </c>
      <c r="B177" s="37" t="s">
        <v>473</v>
      </c>
      <c r="C177" s="38" t="s">
        <v>210</v>
      </c>
      <c r="D177" s="37" t="s">
        <v>149</v>
      </c>
      <c r="E177" s="37" t="s">
        <v>474</v>
      </c>
    </row>
    <row r="178" spans="1:5" ht="45" customHeight="1" x14ac:dyDescent="0.25">
      <c r="A178" s="35" t="s">
        <v>462</v>
      </c>
      <c r="B178" s="35" t="s">
        <v>475</v>
      </c>
      <c r="C178" s="36" t="s">
        <v>210</v>
      </c>
      <c r="D178" s="35" t="s">
        <v>149</v>
      </c>
      <c r="E178" s="35" t="s">
        <v>252</v>
      </c>
    </row>
    <row r="179" spans="1:5" ht="45" customHeight="1" x14ac:dyDescent="0.25">
      <c r="A179" s="37" t="s">
        <v>476</v>
      </c>
      <c r="B179" s="37" t="s">
        <v>477</v>
      </c>
      <c r="C179" s="38" t="s">
        <v>210</v>
      </c>
      <c r="D179" s="37" t="s">
        <v>155</v>
      </c>
      <c r="E179" s="37" t="s">
        <v>478</v>
      </c>
    </row>
    <row r="180" spans="1:5" ht="45" customHeight="1" x14ac:dyDescent="0.25">
      <c r="A180" s="35" t="s">
        <v>476</v>
      </c>
      <c r="B180" s="35" t="s">
        <v>433</v>
      </c>
      <c r="C180" s="36" t="s">
        <v>210</v>
      </c>
      <c r="D180" s="35" t="s">
        <v>155</v>
      </c>
      <c r="E180" s="35" t="s">
        <v>479</v>
      </c>
    </row>
    <row r="181" spans="1:5" ht="45" customHeight="1" x14ac:dyDescent="0.25">
      <c r="A181" s="37" t="s">
        <v>476</v>
      </c>
      <c r="B181" s="37" t="s">
        <v>216</v>
      </c>
      <c r="C181" s="38" t="s">
        <v>210</v>
      </c>
      <c r="D181" s="37" t="s">
        <v>146</v>
      </c>
      <c r="E181" s="37" t="s">
        <v>217</v>
      </c>
    </row>
    <row r="182" spans="1:5" ht="45" customHeight="1" x14ac:dyDescent="0.25">
      <c r="A182" s="35" t="s">
        <v>476</v>
      </c>
      <c r="B182" s="35" t="s">
        <v>424</v>
      </c>
      <c r="C182" s="36" t="s">
        <v>210</v>
      </c>
      <c r="D182" s="35" t="s">
        <v>149</v>
      </c>
      <c r="E182" s="35" t="s">
        <v>480</v>
      </c>
    </row>
    <row r="183" spans="1:5" ht="45" customHeight="1" x14ac:dyDescent="0.25">
      <c r="A183" s="37" t="s">
        <v>476</v>
      </c>
      <c r="B183" s="37" t="s">
        <v>426</v>
      </c>
      <c r="C183" s="38" t="s">
        <v>210</v>
      </c>
      <c r="D183" s="37" t="s">
        <v>149</v>
      </c>
      <c r="E183" s="37" t="s">
        <v>252</v>
      </c>
    </row>
    <row r="184" spans="1:5" ht="45" customHeight="1" x14ac:dyDescent="0.25">
      <c r="A184" s="35" t="s">
        <v>476</v>
      </c>
      <c r="B184" s="35" t="s">
        <v>481</v>
      </c>
      <c r="C184" s="36" t="s">
        <v>210</v>
      </c>
      <c r="D184" s="35" t="s">
        <v>149</v>
      </c>
      <c r="E184" s="35" t="s">
        <v>482</v>
      </c>
    </row>
    <row r="185" spans="1:5" ht="45" customHeight="1" x14ac:dyDescent="0.25">
      <c r="A185" s="37" t="s">
        <v>476</v>
      </c>
      <c r="B185" s="37" t="s">
        <v>483</v>
      </c>
      <c r="C185" s="38" t="s">
        <v>210</v>
      </c>
      <c r="D185" s="37" t="s">
        <v>149</v>
      </c>
      <c r="E185" s="37" t="s">
        <v>252</v>
      </c>
    </row>
    <row r="186" spans="1:5" ht="45" customHeight="1" x14ac:dyDescent="0.25">
      <c r="A186" s="35" t="s">
        <v>484</v>
      </c>
      <c r="B186" s="35" t="s">
        <v>406</v>
      </c>
      <c r="C186" s="36" t="s">
        <v>210</v>
      </c>
      <c r="D186" s="35" t="s">
        <v>155</v>
      </c>
      <c r="E186" s="35" t="s">
        <v>459</v>
      </c>
    </row>
    <row r="187" spans="1:5" ht="45" customHeight="1" x14ac:dyDescent="0.25">
      <c r="A187" s="37" t="s">
        <v>484</v>
      </c>
      <c r="B187" s="37" t="s">
        <v>216</v>
      </c>
      <c r="C187" s="38" t="s">
        <v>210</v>
      </c>
      <c r="D187" s="37" t="s">
        <v>146</v>
      </c>
      <c r="E187" s="37" t="s">
        <v>217</v>
      </c>
    </row>
    <row r="188" spans="1:5" ht="45" customHeight="1" x14ac:dyDescent="0.25">
      <c r="A188" s="35" t="s">
        <v>484</v>
      </c>
      <c r="B188" s="35" t="s">
        <v>485</v>
      </c>
      <c r="C188" s="36" t="s">
        <v>210</v>
      </c>
      <c r="D188" s="35" t="s">
        <v>149</v>
      </c>
      <c r="E188" s="35" t="s">
        <v>486</v>
      </c>
    </row>
    <row r="189" spans="1:5" ht="45" customHeight="1" x14ac:dyDescent="0.25">
      <c r="A189" s="37" t="s">
        <v>484</v>
      </c>
      <c r="B189" s="37" t="s">
        <v>487</v>
      </c>
      <c r="C189" s="38" t="s">
        <v>210</v>
      </c>
      <c r="D189" s="37" t="s">
        <v>149</v>
      </c>
      <c r="E189" s="37" t="s">
        <v>252</v>
      </c>
    </row>
    <row r="190" spans="1:5" ht="45" customHeight="1" x14ac:dyDescent="0.25">
      <c r="A190" s="35" t="s">
        <v>484</v>
      </c>
      <c r="B190" s="35" t="s">
        <v>488</v>
      </c>
      <c r="C190" s="36" t="s">
        <v>210</v>
      </c>
      <c r="D190" s="35" t="s">
        <v>149</v>
      </c>
      <c r="E190" s="35" t="s">
        <v>489</v>
      </c>
    </row>
    <row r="191" spans="1:5" ht="45" customHeight="1" x14ac:dyDescent="0.25">
      <c r="A191" s="37" t="s">
        <v>484</v>
      </c>
      <c r="B191" s="37" t="s">
        <v>490</v>
      </c>
      <c r="C191" s="38" t="s">
        <v>210</v>
      </c>
      <c r="D191" s="37" t="s">
        <v>149</v>
      </c>
      <c r="E191" s="37" t="s">
        <v>252</v>
      </c>
    </row>
    <row r="192" spans="1:5" ht="45" customHeight="1" x14ac:dyDescent="0.25">
      <c r="A192" s="35" t="s">
        <v>484</v>
      </c>
      <c r="B192" s="35" t="s">
        <v>424</v>
      </c>
      <c r="C192" s="36" t="s">
        <v>210</v>
      </c>
      <c r="D192" s="35" t="s">
        <v>149</v>
      </c>
      <c r="E192" s="35" t="s">
        <v>454</v>
      </c>
    </row>
    <row r="193" spans="1:5" ht="45" customHeight="1" x14ac:dyDescent="0.25">
      <c r="A193" s="37" t="s">
        <v>484</v>
      </c>
      <c r="B193" s="37" t="s">
        <v>426</v>
      </c>
      <c r="C193" s="38" t="s">
        <v>210</v>
      </c>
      <c r="D193" s="37" t="s">
        <v>149</v>
      </c>
      <c r="E193" s="37" t="s">
        <v>252</v>
      </c>
    </row>
    <row r="194" spans="1:5" ht="45" customHeight="1" x14ac:dyDescent="0.25">
      <c r="A194" s="35" t="s">
        <v>491</v>
      </c>
      <c r="B194" s="35" t="s">
        <v>406</v>
      </c>
      <c r="C194" s="36" t="s">
        <v>210</v>
      </c>
      <c r="D194" s="35" t="s">
        <v>155</v>
      </c>
      <c r="E194" s="35" t="s">
        <v>459</v>
      </c>
    </row>
    <row r="195" spans="1:5" ht="45" customHeight="1" x14ac:dyDescent="0.25">
      <c r="A195" s="37" t="s">
        <v>491</v>
      </c>
      <c r="B195" s="37" t="s">
        <v>492</v>
      </c>
      <c r="C195" s="38" t="s">
        <v>210</v>
      </c>
      <c r="D195" s="37" t="s">
        <v>155</v>
      </c>
      <c r="E195" s="37" t="s">
        <v>493</v>
      </c>
    </row>
    <row r="196" spans="1:5" ht="45" customHeight="1" x14ac:dyDescent="0.25">
      <c r="A196" s="35" t="s">
        <v>491</v>
      </c>
      <c r="B196" s="35" t="s">
        <v>216</v>
      </c>
      <c r="C196" s="36" t="s">
        <v>210</v>
      </c>
      <c r="D196" s="35" t="s">
        <v>146</v>
      </c>
      <c r="E196" s="35" t="s">
        <v>217</v>
      </c>
    </row>
    <row r="197" spans="1:5" ht="45" customHeight="1" x14ac:dyDescent="0.25">
      <c r="A197" s="37" t="s">
        <v>491</v>
      </c>
      <c r="B197" s="37" t="s">
        <v>424</v>
      </c>
      <c r="C197" s="38" t="s">
        <v>210</v>
      </c>
      <c r="D197" s="37" t="s">
        <v>149</v>
      </c>
      <c r="E197" s="37" t="s">
        <v>454</v>
      </c>
    </row>
    <row r="198" spans="1:5" ht="45" customHeight="1" x14ac:dyDescent="0.25">
      <c r="A198" s="35" t="s">
        <v>491</v>
      </c>
      <c r="B198" s="35" t="s">
        <v>426</v>
      </c>
      <c r="C198" s="36" t="s">
        <v>210</v>
      </c>
      <c r="D198" s="35" t="s">
        <v>149</v>
      </c>
      <c r="E198" s="35" t="s">
        <v>252</v>
      </c>
    </row>
    <row r="199" spans="1:5" ht="45" customHeight="1" x14ac:dyDescent="0.25">
      <c r="A199" s="37" t="s">
        <v>494</v>
      </c>
      <c r="B199" s="37" t="s">
        <v>495</v>
      </c>
      <c r="C199" s="38" t="s">
        <v>210</v>
      </c>
      <c r="D199" s="37" t="s">
        <v>146</v>
      </c>
      <c r="E199" s="37" t="s">
        <v>496</v>
      </c>
    </row>
    <row r="200" spans="1:5" ht="45" customHeight="1" x14ac:dyDescent="0.25">
      <c r="A200" s="35" t="s">
        <v>494</v>
      </c>
      <c r="B200" s="35" t="s">
        <v>497</v>
      </c>
      <c r="C200" s="36" t="s">
        <v>210</v>
      </c>
      <c r="D200" s="35" t="s">
        <v>155</v>
      </c>
      <c r="E200" s="35" t="s">
        <v>498</v>
      </c>
    </row>
    <row r="201" spans="1:5" ht="45" customHeight="1" x14ac:dyDescent="0.25">
      <c r="A201" s="37" t="s">
        <v>494</v>
      </c>
      <c r="B201" s="37" t="s">
        <v>433</v>
      </c>
      <c r="C201" s="38" t="s">
        <v>210</v>
      </c>
      <c r="D201" s="37" t="s">
        <v>155</v>
      </c>
      <c r="E201" s="37" t="s">
        <v>479</v>
      </c>
    </row>
    <row r="202" spans="1:5" ht="45" customHeight="1" x14ac:dyDescent="0.25">
      <c r="A202" s="35" t="s">
        <v>499</v>
      </c>
      <c r="B202" s="35" t="s">
        <v>463</v>
      </c>
      <c r="C202" s="36" t="s">
        <v>210</v>
      </c>
      <c r="D202" s="35" t="s">
        <v>146</v>
      </c>
      <c r="E202" s="35" t="s">
        <v>500</v>
      </c>
    </row>
    <row r="203" spans="1:5" ht="45" customHeight="1" x14ac:dyDescent="0.25">
      <c r="A203" s="37" t="s">
        <v>499</v>
      </c>
      <c r="B203" s="37" t="s">
        <v>465</v>
      </c>
      <c r="C203" s="38" t="s">
        <v>210</v>
      </c>
      <c r="D203" s="37" t="s">
        <v>146</v>
      </c>
      <c r="E203" s="37" t="s">
        <v>501</v>
      </c>
    </row>
    <row r="204" spans="1:5" ht="45" customHeight="1" x14ac:dyDescent="0.25">
      <c r="A204" s="35" t="s">
        <v>499</v>
      </c>
      <c r="B204" s="35" t="s">
        <v>433</v>
      </c>
      <c r="C204" s="36" t="s">
        <v>210</v>
      </c>
      <c r="D204" s="35" t="s">
        <v>155</v>
      </c>
      <c r="E204" s="35" t="s">
        <v>479</v>
      </c>
    </row>
    <row r="205" spans="1:5" ht="45" customHeight="1" x14ac:dyDescent="0.25">
      <c r="A205" s="37" t="s">
        <v>499</v>
      </c>
      <c r="B205" s="37" t="s">
        <v>502</v>
      </c>
      <c r="C205" s="38" t="s">
        <v>210</v>
      </c>
      <c r="D205" s="37" t="s">
        <v>155</v>
      </c>
      <c r="E205" s="37" t="s">
        <v>503</v>
      </c>
    </row>
    <row r="206" spans="1:5" ht="45" customHeight="1" x14ac:dyDescent="0.25">
      <c r="A206" s="35" t="s">
        <v>504</v>
      </c>
      <c r="B206" s="35" t="s">
        <v>433</v>
      </c>
      <c r="C206" s="36" t="s">
        <v>210</v>
      </c>
      <c r="D206" s="35" t="s">
        <v>155</v>
      </c>
      <c r="E206" s="35" t="s">
        <v>479</v>
      </c>
    </row>
    <row r="207" spans="1:5" ht="45" customHeight="1" x14ac:dyDescent="0.25">
      <c r="A207" s="37" t="s">
        <v>504</v>
      </c>
      <c r="B207" s="37" t="s">
        <v>216</v>
      </c>
      <c r="C207" s="38" t="s">
        <v>210</v>
      </c>
      <c r="D207" s="37" t="s">
        <v>146</v>
      </c>
      <c r="E207" s="37" t="s">
        <v>217</v>
      </c>
    </row>
    <row r="208" spans="1:5" ht="45" customHeight="1" x14ac:dyDescent="0.25">
      <c r="A208" s="35" t="s">
        <v>505</v>
      </c>
      <c r="B208" s="35" t="s">
        <v>506</v>
      </c>
      <c r="C208" s="36" t="s">
        <v>210</v>
      </c>
      <c r="D208" s="35" t="s">
        <v>158</v>
      </c>
      <c r="E208" s="35" t="s">
        <v>507</v>
      </c>
    </row>
    <row r="209" spans="1:5" ht="45" customHeight="1" x14ac:dyDescent="0.25">
      <c r="A209" s="37" t="s">
        <v>505</v>
      </c>
      <c r="B209" s="37" t="s">
        <v>433</v>
      </c>
      <c r="C209" s="38" t="s">
        <v>210</v>
      </c>
      <c r="D209" s="37" t="s">
        <v>155</v>
      </c>
      <c r="E209" s="37" t="s">
        <v>479</v>
      </c>
    </row>
    <row r="210" spans="1:5" ht="45" customHeight="1" x14ac:dyDescent="0.25">
      <c r="A210" s="35" t="s">
        <v>505</v>
      </c>
      <c r="B210" s="35" t="s">
        <v>508</v>
      </c>
      <c r="C210" s="36" t="s">
        <v>210</v>
      </c>
      <c r="D210" s="35" t="s">
        <v>155</v>
      </c>
      <c r="E210" s="35" t="s">
        <v>509</v>
      </c>
    </row>
    <row r="211" spans="1:5" ht="45" customHeight="1" x14ac:dyDescent="0.25">
      <c r="A211" s="37" t="s">
        <v>505</v>
      </c>
      <c r="B211" s="37" t="s">
        <v>216</v>
      </c>
      <c r="C211" s="38" t="s">
        <v>210</v>
      </c>
      <c r="D211" s="37" t="s">
        <v>146</v>
      </c>
      <c r="E211" s="37" t="s">
        <v>217</v>
      </c>
    </row>
    <row r="212" spans="1:5" ht="45" customHeight="1" x14ac:dyDescent="0.25">
      <c r="A212" s="35" t="s">
        <v>510</v>
      </c>
      <c r="B212" s="35" t="s">
        <v>406</v>
      </c>
      <c r="C212" s="36" t="s">
        <v>210</v>
      </c>
      <c r="D212" s="35" t="s">
        <v>155</v>
      </c>
      <c r="E212" s="35" t="s">
        <v>459</v>
      </c>
    </row>
    <row r="213" spans="1:5" ht="45" customHeight="1" x14ac:dyDescent="0.25">
      <c r="A213" s="37" t="s">
        <v>510</v>
      </c>
      <c r="B213" s="37" t="s">
        <v>216</v>
      </c>
      <c r="C213" s="38" t="s">
        <v>210</v>
      </c>
      <c r="D213" s="37" t="s">
        <v>146</v>
      </c>
      <c r="E213" s="37" t="s">
        <v>217</v>
      </c>
    </row>
    <row r="214" spans="1:5" ht="45" customHeight="1" x14ac:dyDescent="0.25">
      <c r="A214" s="35" t="s">
        <v>510</v>
      </c>
      <c r="B214" s="35" t="s">
        <v>511</v>
      </c>
      <c r="C214" s="36" t="s">
        <v>210</v>
      </c>
      <c r="D214" s="35" t="s">
        <v>149</v>
      </c>
      <c r="E214" s="35" t="s">
        <v>512</v>
      </c>
    </row>
    <row r="215" spans="1:5" ht="45" customHeight="1" x14ac:dyDescent="0.25">
      <c r="A215" s="37" t="s">
        <v>510</v>
      </c>
      <c r="B215" s="37" t="s">
        <v>422</v>
      </c>
      <c r="C215" s="38" t="s">
        <v>210</v>
      </c>
      <c r="D215" s="37" t="s">
        <v>161</v>
      </c>
      <c r="E215" s="37" t="s">
        <v>453</v>
      </c>
    </row>
    <row r="216" spans="1:5" ht="45" customHeight="1" x14ac:dyDescent="0.25">
      <c r="A216" s="35" t="s">
        <v>510</v>
      </c>
      <c r="B216" s="35" t="s">
        <v>513</v>
      </c>
      <c r="C216" s="36" t="s">
        <v>210</v>
      </c>
      <c r="D216" s="35" t="s">
        <v>149</v>
      </c>
      <c r="E216" s="35" t="s">
        <v>514</v>
      </c>
    </row>
    <row r="217" spans="1:5" ht="45" customHeight="1" x14ac:dyDescent="0.25">
      <c r="A217" s="37" t="s">
        <v>510</v>
      </c>
      <c r="B217" s="37" t="s">
        <v>424</v>
      </c>
      <c r="C217" s="38" t="s">
        <v>210</v>
      </c>
      <c r="D217" s="37" t="s">
        <v>149</v>
      </c>
      <c r="E217" s="37" t="s">
        <v>454</v>
      </c>
    </row>
    <row r="218" spans="1:5" ht="45" customHeight="1" x14ac:dyDescent="0.25">
      <c r="A218" s="35" t="s">
        <v>510</v>
      </c>
      <c r="B218" s="35" t="s">
        <v>426</v>
      </c>
      <c r="C218" s="36" t="s">
        <v>210</v>
      </c>
      <c r="D218" s="35" t="s">
        <v>149</v>
      </c>
      <c r="E218" s="35" t="s">
        <v>252</v>
      </c>
    </row>
    <row r="219" spans="1:5" ht="45" customHeight="1" x14ac:dyDescent="0.25">
      <c r="A219" s="37" t="s">
        <v>510</v>
      </c>
      <c r="B219" s="37" t="s">
        <v>515</v>
      </c>
      <c r="C219" s="38" t="s">
        <v>210</v>
      </c>
      <c r="D219" s="37" t="s">
        <v>149</v>
      </c>
      <c r="E219" s="37" t="s">
        <v>516</v>
      </c>
    </row>
    <row r="220" spans="1:5" ht="45" customHeight="1" x14ac:dyDescent="0.25">
      <c r="A220" s="35" t="s">
        <v>517</v>
      </c>
      <c r="B220" s="35" t="s">
        <v>518</v>
      </c>
      <c r="C220" s="36" t="s">
        <v>210</v>
      </c>
      <c r="D220" s="35" t="s">
        <v>152</v>
      </c>
      <c r="E220" s="35" t="s">
        <v>519</v>
      </c>
    </row>
    <row r="221" spans="1:5" ht="45" customHeight="1" x14ac:dyDescent="0.25">
      <c r="A221" s="37" t="s">
        <v>517</v>
      </c>
      <c r="B221" s="37" t="s">
        <v>497</v>
      </c>
      <c r="C221" s="38" t="s">
        <v>210</v>
      </c>
      <c r="D221" s="37" t="s">
        <v>155</v>
      </c>
      <c r="E221" s="37" t="s">
        <v>520</v>
      </c>
    </row>
    <row r="222" spans="1:5" ht="45" customHeight="1" x14ac:dyDescent="0.25">
      <c r="A222" s="35" t="s">
        <v>517</v>
      </c>
      <c r="B222" s="35" t="s">
        <v>433</v>
      </c>
      <c r="C222" s="36" t="s">
        <v>210</v>
      </c>
      <c r="D222" s="35" t="s">
        <v>155</v>
      </c>
      <c r="E222" s="35" t="s">
        <v>479</v>
      </c>
    </row>
    <row r="223" spans="1:5" ht="45" customHeight="1" x14ac:dyDescent="0.25">
      <c r="A223" s="37" t="s">
        <v>517</v>
      </c>
      <c r="B223" s="37" t="s">
        <v>521</v>
      </c>
      <c r="C223" s="38" t="s">
        <v>210</v>
      </c>
      <c r="D223" s="37" t="s">
        <v>155</v>
      </c>
      <c r="E223" s="37" t="s">
        <v>522</v>
      </c>
    </row>
    <row r="224" spans="1:5" ht="45" customHeight="1" x14ac:dyDescent="0.25">
      <c r="A224" s="35" t="s">
        <v>517</v>
      </c>
      <c r="B224" s="35" t="s">
        <v>523</v>
      </c>
      <c r="C224" s="36" t="s">
        <v>210</v>
      </c>
      <c r="D224" s="35" t="s">
        <v>155</v>
      </c>
      <c r="E224" s="35" t="s">
        <v>524</v>
      </c>
    </row>
    <row r="225" spans="1:5" ht="45" customHeight="1" x14ac:dyDescent="0.25">
      <c r="A225" s="37" t="s">
        <v>517</v>
      </c>
      <c r="B225" s="37" t="s">
        <v>216</v>
      </c>
      <c r="C225" s="38" t="s">
        <v>210</v>
      </c>
      <c r="D225" s="37" t="s">
        <v>146</v>
      </c>
      <c r="E225" s="37" t="s">
        <v>217</v>
      </c>
    </row>
    <row r="226" spans="1:5" ht="45" customHeight="1" x14ac:dyDescent="0.25">
      <c r="A226" s="35" t="s">
        <v>525</v>
      </c>
      <c r="B226" s="35" t="s">
        <v>433</v>
      </c>
      <c r="C226" s="36" t="s">
        <v>210</v>
      </c>
      <c r="D226" s="35" t="s">
        <v>155</v>
      </c>
      <c r="E226" s="35" t="s">
        <v>479</v>
      </c>
    </row>
    <row r="227" spans="1:5" ht="45" customHeight="1" x14ac:dyDescent="0.25">
      <c r="A227" s="37" t="s">
        <v>525</v>
      </c>
      <c r="B227" s="37" t="s">
        <v>526</v>
      </c>
      <c r="C227" s="38" t="s">
        <v>210</v>
      </c>
      <c r="D227" s="37" t="s">
        <v>155</v>
      </c>
      <c r="E227" s="37" t="s">
        <v>527</v>
      </c>
    </row>
    <row r="228" spans="1:5" ht="45" customHeight="1" x14ac:dyDescent="0.25">
      <c r="A228" s="35" t="s">
        <v>525</v>
      </c>
      <c r="B228" s="35" t="s">
        <v>216</v>
      </c>
      <c r="C228" s="36" t="s">
        <v>210</v>
      </c>
      <c r="D228" s="35" t="s">
        <v>146</v>
      </c>
      <c r="E228" s="35" t="s">
        <v>217</v>
      </c>
    </row>
    <row r="229" spans="1:5" ht="45" customHeight="1" x14ac:dyDescent="0.25">
      <c r="A229" s="37" t="s">
        <v>528</v>
      </c>
      <c r="B229" s="37" t="s">
        <v>529</v>
      </c>
      <c r="C229" s="38" t="s">
        <v>210</v>
      </c>
      <c r="D229" s="37" t="s">
        <v>146</v>
      </c>
      <c r="E229" s="37" t="s">
        <v>530</v>
      </c>
    </row>
    <row r="230" spans="1:5" ht="45" customHeight="1" x14ac:dyDescent="0.25">
      <c r="A230" s="35" t="s">
        <v>528</v>
      </c>
      <c r="B230" s="35" t="s">
        <v>531</v>
      </c>
      <c r="C230" s="36" t="s">
        <v>210</v>
      </c>
      <c r="D230" s="35" t="s">
        <v>152</v>
      </c>
      <c r="E230" s="35" t="s">
        <v>532</v>
      </c>
    </row>
    <row r="231" spans="1:5" ht="45" customHeight="1" x14ac:dyDescent="0.25">
      <c r="A231" s="37" t="s">
        <v>528</v>
      </c>
      <c r="B231" s="37" t="s">
        <v>533</v>
      </c>
      <c r="C231" s="38" t="s">
        <v>210</v>
      </c>
      <c r="D231" s="37" t="s">
        <v>149</v>
      </c>
      <c r="E231" s="37" t="s">
        <v>534</v>
      </c>
    </row>
    <row r="232" spans="1:5" ht="45" customHeight="1" x14ac:dyDescent="0.25">
      <c r="A232" s="35" t="s">
        <v>528</v>
      </c>
      <c r="B232" s="35" t="s">
        <v>506</v>
      </c>
      <c r="C232" s="36" t="s">
        <v>210</v>
      </c>
      <c r="D232" s="35" t="s">
        <v>158</v>
      </c>
      <c r="E232" s="35" t="s">
        <v>535</v>
      </c>
    </row>
    <row r="233" spans="1:5" ht="45" customHeight="1" x14ac:dyDescent="0.25">
      <c r="A233" s="37" t="s">
        <v>528</v>
      </c>
      <c r="B233" s="37" t="s">
        <v>508</v>
      </c>
      <c r="C233" s="38" t="s">
        <v>210</v>
      </c>
      <c r="D233" s="37" t="s">
        <v>155</v>
      </c>
      <c r="E233" s="37" t="s">
        <v>536</v>
      </c>
    </row>
    <row r="234" spans="1:5" ht="45" customHeight="1" x14ac:dyDescent="0.25">
      <c r="A234" s="35" t="s">
        <v>528</v>
      </c>
      <c r="B234" s="35" t="s">
        <v>216</v>
      </c>
      <c r="C234" s="36" t="s">
        <v>210</v>
      </c>
      <c r="D234" s="35" t="s">
        <v>146</v>
      </c>
      <c r="E234" s="35" t="s">
        <v>217</v>
      </c>
    </row>
    <row r="235" spans="1:5" ht="45" customHeight="1" x14ac:dyDescent="0.25">
      <c r="A235" s="37" t="s">
        <v>537</v>
      </c>
      <c r="B235" s="37" t="s">
        <v>243</v>
      </c>
      <c r="C235" s="38" t="s">
        <v>210</v>
      </c>
      <c r="D235" s="37" t="s">
        <v>244</v>
      </c>
      <c r="E235" s="37" t="s">
        <v>254</v>
      </c>
    </row>
    <row r="236" spans="1:5" ht="45" customHeight="1" x14ac:dyDescent="0.25">
      <c r="A236" s="35" t="s">
        <v>537</v>
      </c>
      <c r="B236" s="35" t="s">
        <v>538</v>
      </c>
      <c r="C236" s="36" t="s">
        <v>210</v>
      </c>
      <c r="D236" s="35" t="s">
        <v>152</v>
      </c>
      <c r="E236" s="35" t="s">
        <v>539</v>
      </c>
    </row>
    <row r="237" spans="1:5" ht="45" customHeight="1" x14ac:dyDescent="0.25">
      <c r="A237" s="37" t="s">
        <v>537</v>
      </c>
      <c r="B237" s="37" t="s">
        <v>540</v>
      </c>
      <c r="C237" s="38" t="s">
        <v>210</v>
      </c>
      <c r="D237" s="37" t="s">
        <v>149</v>
      </c>
      <c r="E237" s="37" t="s">
        <v>541</v>
      </c>
    </row>
    <row r="238" spans="1:5" ht="45" customHeight="1" x14ac:dyDescent="0.25">
      <c r="A238" s="35" t="s">
        <v>537</v>
      </c>
      <c r="B238" s="35" t="s">
        <v>216</v>
      </c>
      <c r="C238" s="36" t="s">
        <v>210</v>
      </c>
      <c r="D238" s="35" t="s">
        <v>146</v>
      </c>
      <c r="E238" s="35" t="s">
        <v>217</v>
      </c>
    </row>
    <row r="239" spans="1:5" ht="45" customHeight="1" x14ac:dyDescent="0.25">
      <c r="A239" s="37" t="s">
        <v>537</v>
      </c>
      <c r="B239" s="37" t="s">
        <v>424</v>
      </c>
      <c r="C239" s="38" t="s">
        <v>210</v>
      </c>
      <c r="D239" s="37" t="s">
        <v>149</v>
      </c>
      <c r="E239" s="37" t="s">
        <v>454</v>
      </c>
    </row>
    <row r="240" spans="1:5" ht="45" customHeight="1" x14ac:dyDescent="0.25">
      <c r="A240" s="35" t="s">
        <v>537</v>
      </c>
      <c r="B240" s="35" t="s">
        <v>426</v>
      </c>
      <c r="C240" s="36" t="s">
        <v>210</v>
      </c>
      <c r="D240" s="35" t="s">
        <v>149</v>
      </c>
      <c r="E240" s="35" t="s">
        <v>252</v>
      </c>
    </row>
    <row r="241" spans="1:5" ht="45" customHeight="1" x14ac:dyDescent="0.25">
      <c r="A241" s="37" t="s">
        <v>542</v>
      </c>
      <c r="B241" s="37" t="s">
        <v>406</v>
      </c>
      <c r="C241" s="38" t="s">
        <v>210</v>
      </c>
      <c r="D241" s="37" t="s">
        <v>155</v>
      </c>
      <c r="E241" s="37" t="s">
        <v>459</v>
      </c>
    </row>
    <row r="242" spans="1:5" ht="45" customHeight="1" x14ac:dyDescent="0.25">
      <c r="A242" s="35" t="s">
        <v>542</v>
      </c>
      <c r="B242" s="35" t="s">
        <v>216</v>
      </c>
      <c r="C242" s="36" t="s">
        <v>210</v>
      </c>
      <c r="D242" s="35" t="s">
        <v>146</v>
      </c>
      <c r="E242" s="35" t="s">
        <v>217</v>
      </c>
    </row>
    <row r="243" spans="1:5" ht="45" customHeight="1" x14ac:dyDescent="0.25">
      <c r="A243" s="37" t="s">
        <v>542</v>
      </c>
      <c r="B243" s="37" t="s">
        <v>543</v>
      </c>
      <c r="C243" s="38" t="s">
        <v>210</v>
      </c>
      <c r="D243" s="37" t="s">
        <v>149</v>
      </c>
      <c r="E243" s="37" t="s">
        <v>544</v>
      </c>
    </row>
    <row r="244" spans="1:5" ht="45" customHeight="1" x14ac:dyDescent="0.25">
      <c r="A244" s="35" t="s">
        <v>542</v>
      </c>
      <c r="B244" s="35" t="s">
        <v>424</v>
      </c>
      <c r="C244" s="36" t="s">
        <v>210</v>
      </c>
      <c r="D244" s="35" t="s">
        <v>149</v>
      </c>
      <c r="E244" s="35" t="s">
        <v>454</v>
      </c>
    </row>
    <row r="245" spans="1:5" ht="45" customHeight="1" x14ac:dyDescent="0.25">
      <c r="A245" s="37" t="s">
        <v>542</v>
      </c>
      <c r="B245" s="37" t="s">
        <v>426</v>
      </c>
      <c r="C245" s="38" t="s">
        <v>210</v>
      </c>
      <c r="D245" s="37" t="s">
        <v>149</v>
      </c>
      <c r="E245" s="37" t="s">
        <v>252</v>
      </c>
    </row>
    <row r="246" spans="1:5" ht="45" customHeight="1" x14ac:dyDescent="0.25">
      <c r="A246" s="35" t="s">
        <v>545</v>
      </c>
      <c r="B246" s="35" t="s">
        <v>406</v>
      </c>
      <c r="C246" s="36" t="s">
        <v>210</v>
      </c>
      <c r="D246" s="35" t="s">
        <v>155</v>
      </c>
      <c r="E246" s="35" t="s">
        <v>546</v>
      </c>
    </row>
    <row r="247" spans="1:5" ht="45" customHeight="1" x14ac:dyDescent="0.25">
      <c r="A247" s="37" t="s">
        <v>545</v>
      </c>
      <c r="B247" s="37" t="s">
        <v>216</v>
      </c>
      <c r="C247" s="38" t="s">
        <v>210</v>
      </c>
      <c r="D247" s="37" t="s">
        <v>146</v>
      </c>
      <c r="E247" s="37" t="s">
        <v>217</v>
      </c>
    </row>
    <row r="248" spans="1:5" ht="45" customHeight="1" x14ac:dyDescent="0.25">
      <c r="A248" s="35" t="s">
        <v>545</v>
      </c>
      <c r="B248" s="35" t="s">
        <v>424</v>
      </c>
      <c r="C248" s="36" t="s">
        <v>210</v>
      </c>
      <c r="D248" s="35" t="s">
        <v>149</v>
      </c>
      <c r="E248" s="35" t="s">
        <v>454</v>
      </c>
    </row>
    <row r="249" spans="1:5" ht="45" customHeight="1" x14ac:dyDescent="0.25">
      <c r="A249" s="37" t="s">
        <v>545</v>
      </c>
      <c r="B249" s="37" t="s">
        <v>426</v>
      </c>
      <c r="C249" s="38" t="s">
        <v>210</v>
      </c>
      <c r="D249" s="37" t="s">
        <v>149</v>
      </c>
      <c r="E249" s="37" t="s">
        <v>252</v>
      </c>
    </row>
    <row r="250" spans="1:5" ht="45" customHeight="1" x14ac:dyDescent="0.25">
      <c r="A250" s="35" t="s">
        <v>547</v>
      </c>
      <c r="B250" s="35" t="s">
        <v>433</v>
      </c>
      <c r="C250" s="36" t="s">
        <v>210</v>
      </c>
      <c r="D250" s="35" t="s">
        <v>155</v>
      </c>
      <c r="E250" s="35" t="s">
        <v>479</v>
      </c>
    </row>
    <row r="251" spans="1:5" ht="45" customHeight="1" x14ac:dyDescent="0.25">
      <c r="A251" s="37" t="s">
        <v>547</v>
      </c>
      <c r="B251" s="37" t="s">
        <v>216</v>
      </c>
      <c r="C251" s="38" t="s">
        <v>210</v>
      </c>
      <c r="D251" s="37" t="s">
        <v>146</v>
      </c>
      <c r="E251" s="37" t="s">
        <v>217</v>
      </c>
    </row>
    <row r="252" spans="1:5" ht="45" customHeight="1" x14ac:dyDescent="0.25">
      <c r="A252" s="35" t="s">
        <v>547</v>
      </c>
      <c r="B252" s="35" t="s">
        <v>548</v>
      </c>
      <c r="C252" s="36" t="s">
        <v>210</v>
      </c>
      <c r="D252" s="35" t="s">
        <v>149</v>
      </c>
      <c r="E252" s="35" t="s">
        <v>549</v>
      </c>
    </row>
    <row r="253" spans="1:5" ht="45" customHeight="1" x14ac:dyDescent="0.25">
      <c r="A253" s="37" t="s">
        <v>550</v>
      </c>
      <c r="B253" s="37" t="s">
        <v>551</v>
      </c>
      <c r="C253" s="38" t="s">
        <v>210</v>
      </c>
      <c r="D253" s="37" t="s">
        <v>146</v>
      </c>
      <c r="E253" s="37" t="s">
        <v>552</v>
      </c>
    </row>
    <row r="254" spans="1:5" ht="45" customHeight="1" x14ac:dyDescent="0.25">
      <c r="A254" s="35" t="s">
        <v>550</v>
      </c>
      <c r="B254" s="35" t="s">
        <v>553</v>
      </c>
      <c r="C254" s="36" t="s">
        <v>210</v>
      </c>
      <c r="D254" s="35" t="s">
        <v>146</v>
      </c>
      <c r="E254" s="35" t="s">
        <v>217</v>
      </c>
    </row>
    <row r="255" spans="1:5" ht="45" customHeight="1" x14ac:dyDescent="0.25">
      <c r="A255" s="37" t="s">
        <v>550</v>
      </c>
      <c r="B255" s="37" t="s">
        <v>554</v>
      </c>
      <c r="C255" s="38" t="s">
        <v>210</v>
      </c>
      <c r="D255" s="37" t="s">
        <v>146</v>
      </c>
      <c r="E255" s="37" t="s">
        <v>555</v>
      </c>
    </row>
    <row r="256" spans="1:5" ht="45" customHeight="1" x14ac:dyDescent="0.25">
      <c r="A256" s="35" t="s">
        <v>550</v>
      </c>
      <c r="B256" s="35" t="s">
        <v>556</v>
      </c>
      <c r="C256" s="36" t="s">
        <v>210</v>
      </c>
      <c r="D256" s="35" t="s">
        <v>149</v>
      </c>
      <c r="E256" s="35" t="s">
        <v>557</v>
      </c>
    </row>
    <row r="257" spans="1:5" ht="45" customHeight="1" x14ac:dyDescent="0.25">
      <c r="A257" s="37" t="s">
        <v>550</v>
      </c>
      <c r="B257" s="37" t="s">
        <v>433</v>
      </c>
      <c r="C257" s="38" t="s">
        <v>210</v>
      </c>
      <c r="D257" s="37" t="s">
        <v>155</v>
      </c>
      <c r="E257" s="37" t="s">
        <v>479</v>
      </c>
    </row>
    <row r="258" spans="1:5" ht="45" customHeight="1" x14ac:dyDescent="0.25">
      <c r="A258" s="35" t="s">
        <v>550</v>
      </c>
      <c r="B258" s="35" t="s">
        <v>558</v>
      </c>
      <c r="C258" s="36" t="s">
        <v>210</v>
      </c>
      <c r="D258" s="35" t="s">
        <v>155</v>
      </c>
      <c r="E258" s="35" t="s">
        <v>559</v>
      </c>
    </row>
    <row r="259" spans="1:5" ht="45" customHeight="1" x14ac:dyDescent="0.25">
      <c r="A259" s="37" t="s">
        <v>550</v>
      </c>
      <c r="B259" s="37" t="s">
        <v>560</v>
      </c>
      <c r="C259" s="38" t="s">
        <v>210</v>
      </c>
      <c r="D259" s="37" t="s">
        <v>155</v>
      </c>
      <c r="E259" s="37" t="s">
        <v>561</v>
      </c>
    </row>
    <row r="260" spans="1:5" ht="45" customHeight="1" x14ac:dyDescent="0.25">
      <c r="A260" s="35" t="s">
        <v>550</v>
      </c>
      <c r="B260" s="35" t="s">
        <v>548</v>
      </c>
      <c r="C260" s="36" t="s">
        <v>210</v>
      </c>
      <c r="D260" s="35" t="s">
        <v>149</v>
      </c>
      <c r="E260" s="35" t="s">
        <v>562</v>
      </c>
    </row>
    <row r="261" spans="1:5" ht="45" customHeight="1" x14ac:dyDescent="0.25">
      <c r="A261" s="37" t="s">
        <v>563</v>
      </c>
      <c r="B261" s="37" t="s">
        <v>564</v>
      </c>
      <c r="C261" s="38" t="s">
        <v>210</v>
      </c>
      <c r="D261" s="37" t="s">
        <v>155</v>
      </c>
      <c r="E261" s="37" t="s">
        <v>565</v>
      </c>
    </row>
    <row r="262" spans="1:5" ht="45" customHeight="1" x14ac:dyDescent="0.25">
      <c r="A262" s="35" t="s">
        <v>563</v>
      </c>
      <c r="B262" s="35" t="s">
        <v>566</v>
      </c>
      <c r="C262" s="36" t="s">
        <v>210</v>
      </c>
      <c r="D262" s="35" t="s">
        <v>155</v>
      </c>
      <c r="E262" s="35" t="s">
        <v>567</v>
      </c>
    </row>
    <row r="263" spans="1:5" ht="45" customHeight="1" x14ac:dyDescent="0.25">
      <c r="A263" s="37" t="s">
        <v>563</v>
      </c>
      <c r="B263" s="37" t="s">
        <v>216</v>
      </c>
      <c r="C263" s="38" t="s">
        <v>210</v>
      </c>
      <c r="D263" s="37" t="s">
        <v>146</v>
      </c>
      <c r="E263" s="37" t="s">
        <v>568</v>
      </c>
    </row>
    <row r="264" spans="1:5" ht="45" customHeight="1" x14ac:dyDescent="0.25">
      <c r="A264" s="35" t="s">
        <v>563</v>
      </c>
      <c r="B264" s="35" t="s">
        <v>424</v>
      </c>
      <c r="C264" s="36" t="s">
        <v>210</v>
      </c>
      <c r="D264" s="35" t="s">
        <v>149</v>
      </c>
      <c r="E264" s="35" t="s">
        <v>454</v>
      </c>
    </row>
    <row r="265" spans="1:5" ht="45" customHeight="1" x14ac:dyDescent="0.25">
      <c r="A265" s="37" t="s">
        <v>563</v>
      </c>
      <c r="B265" s="37" t="s">
        <v>426</v>
      </c>
      <c r="C265" s="38" t="s">
        <v>210</v>
      </c>
      <c r="D265" s="37" t="s">
        <v>149</v>
      </c>
      <c r="E265" s="37" t="s">
        <v>252</v>
      </c>
    </row>
    <row r="266" spans="1:5" ht="45" customHeight="1" x14ac:dyDescent="0.25">
      <c r="A266" s="35" t="s">
        <v>569</v>
      </c>
      <c r="B266" s="35" t="s">
        <v>406</v>
      </c>
      <c r="C266" s="36" t="s">
        <v>210</v>
      </c>
      <c r="D266" s="35" t="s">
        <v>155</v>
      </c>
      <c r="E266" s="35" t="s">
        <v>459</v>
      </c>
    </row>
    <row r="267" spans="1:5" ht="45" customHeight="1" x14ac:dyDescent="0.25">
      <c r="A267" s="37" t="s">
        <v>569</v>
      </c>
      <c r="B267" s="37" t="s">
        <v>216</v>
      </c>
      <c r="C267" s="38" t="s">
        <v>210</v>
      </c>
      <c r="D267" s="37" t="s">
        <v>146</v>
      </c>
      <c r="E267" s="37" t="s">
        <v>217</v>
      </c>
    </row>
    <row r="268" spans="1:5" ht="45" customHeight="1" x14ac:dyDescent="0.25">
      <c r="A268" s="35" t="s">
        <v>569</v>
      </c>
      <c r="B268" s="35" t="s">
        <v>424</v>
      </c>
      <c r="C268" s="36" t="s">
        <v>210</v>
      </c>
      <c r="D268" s="35" t="s">
        <v>149</v>
      </c>
      <c r="E268" s="35" t="s">
        <v>454</v>
      </c>
    </row>
    <row r="269" spans="1:5" ht="45" customHeight="1" x14ac:dyDescent="0.25">
      <c r="A269" s="37" t="s">
        <v>569</v>
      </c>
      <c r="B269" s="37" t="s">
        <v>426</v>
      </c>
      <c r="C269" s="38" t="s">
        <v>210</v>
      </c>
      <c r="D269" s="37" t="s">
        <v>149</v>
      </c>
      <c r="E269" s="37" t="s">
        <v>252</v>
      </c>
    </row>
    <row r="270" spans="1:5" ht="45" customHeight="1" x14ac:dyDescent="0.25">
      <c r="A270" s="35" t="s">
        <v>570</v>
      </c>
      <c r="B270" s="35" t="s">
        <v>571</v>
      </c>
      <c r="C270" s="36" t="s">
        <v>210</v>
      </c>
      <c r="D270" s="35" t="s">
        <v>155</v>
      </c>
      <c r="E270" s="35" t="s">
        <v>446</v>
      </c>
    </row>
    <row r="271" spans="1:5" ht="45" customHeight="1" x14ac:dyDescent="0.25">
      <c r="A271" s="37" t="s">
        <v>570</v>
      </c>
      <c r="B271" s="37" t="s">
        <v>433</v>
      </c>
      <c r="C271" s="38" t="s">
        <v>210</v>
      </c>
      <c r="D271" s="37" t="s">
        <v>155</v>
      </c>
      <c r="E271" s="37" t="s">
        <v>479</v>
      </c>
    </row>
    <row r="272" spans="1:5" ht="45" customHeight="1" x14ac:dyDescent="0.25">
      <c r="A272" s="35" t="s">
        <v>570</v>
      </c>
      <c r="B272" s="35" t="s">
        <v>523</v>
      </c>
      <c r="C272" s="36" t="s">
        <v>210</v>
      </c>
      <c r="D272" s="35" t="s">
        <v>155</v>
      </c>
      <c r="E272" s="35" t="s">
        <v>524</v>
      </c>
    </row>
    <row r="273" spans="1:5" ht="45" customHeight="1" x14ac:dyDescent="0.25">
      <c r="A273" s="37" t="s">
        <v>570</v>
      </c>
      <c r="B273" s="37" t="s">
        <v>572</v>
      </c>
      <c r="C273" s="38" t="s">
        <v>210</v>
      </c>
      <c r="D273" s="37" t="s">
        <v>244</v>
      </c>
      <c r="E273" s="37" t="s">
        <v>573</v>
      </c>
    </row>
    <row r="274" spans="1:5" ht="45" customHeight="1" x14ac:dyDescent="0.25">
      <c r="A274" s="35" t="s">
        <v>570</v>
      </c>
      <c r="B274" s="35" t="s">
        <v>216</v>
      </c>
      <c r="C274" s="36" t="s">
        <v>210</v>
      </c>
      <c r="D274" s="35" t="s">
        <v>146</v>
      </c>
      <c r="E274" s="35" t="s">
        <v>217</v>
      </c>
    </row>
    <row r="275" spans="1:5" ht="45" customHeight="1" x14ac:dyDescent="0.25">
      <c r="A275" s="37" t="s">
        <v>570</v>
      </c>
      <c r="B275" s="37" t="s">
        <v>554</v>
      </c>
      <c r="C275" s="38" t="s">
        <v>210</v>
      </c>
      <c r="D275" s="37" t="s">
        <v>146</v>
      </c>
      <c r="E275" s="37" t="s">
        <v>574</v>
      </c>
    </row>
    <row r="276" spans="1:5" ht="45" customHeight="1" x14ac:dyDescent="0.25">
      <c r="A276" s="35" t="s">
        <v>575</v>
      </c>
      <c r="B276" s="35" t="s">
        <v>406</v>
      </c>
      <c r="C276" s="36" t="s">
        <v>210</v>
      </c>
      <c r="D276" s="35" t="s">
        <v>155</v>
      </c>
      <c r="E276" s="35" t="s">
        <v>546</v>
      </c>
    </row>
    <row r="277" spans="1:5" ht="45" customHeight="1" x14ac:dyDescent="0.25">
      <c r="A277" s="37" t="s">
        <v>575</v>
      </c>
      <c r="B277" s="37" t="s">
        <v>216</v>
      </c>
      <c r="C277" s="38" t="s">
        <v>210</v>
      </c>
      <c r="D277" s="37" t="s">
        <v>146</v>
      </c>
      <c r="E277" s="37" t="s">
        <v>217</v>
      </c>
    </row>
    <row r="278" spans="1:5" ht="45" customHeight="1" x14ac:dyDescent="0.25">
      <c r="A278" s="35" t="s">
        <v>575</v>
      </c>
      <c r="B278" s="35" t="s">
        <v>576</v>
      </c>
      <c r="C278" s="36" t="s">
        <v>210</v>
      </c>
      <c r="D278" s="35" t="s">
        <v>149</v>
      </c>
      <c r="E278" s="35" t="s">
        <v>577</v>
      </c>
    </row>
    <row r="279" spans="1:5" ht="45" customHeight="1" x14ac:dyDescent="0.25">
      <c r="A279" s="37" t="s">
        <v>575</v>
      </c>
      <c r="B279" s="37" t="s">
        <v>422</v>
      </c>
      <c r="C279" s="38" t="s">
        <v>210</v>
      </c>
      <c r="D279" s="37" t="s">
        <v>161</v>
      </c>
      <c r="E279" s="37" t="s">
        <v>453</v>
      </c>
    </row>
    <row r="280" spans="1:5" ht="45" customHeight="1" x14ac:dyDescent="0.25">
      <c r="A280" s="35" t="s">
        <v>575</v>
      </c>
      <c r="B280" s="35" t="s">
        <v>578</v>
      </c>
      <c r="C280" s="36" t="s">
        <v>210</v>
      </c>
      <c r="D280" s="35" t="s">
        <v>149</v>
      </c>
      <c r="E280" s="35" t="s">
        <v>579</v>
      </c>
    </row>
    <row r="281" spans="1:5" ht="45" customHeight="1" x14ac:dyDescent="0.25">
      <c r="A281" s="37" t="s">
        <v>575</v>
      </c>
      <c r="B281" s="37" t="s">
        <v>580</v>
      </c>
      <c r="C281" s="38" t="s">
        <v>210</v>
      </c>
      <c r="D281" s="37" t="s">
        <v>149</v>
      </c>
      <c r="E281" s="37" t="s">
        <v>252</v>
      </c>
    </row>
    <row r="282" spans="1:5" ht="45" customHeight="1" x14ac:dyDescent="0.25">
      <c r="A282" s="35" t="s">
        <v>575</v>
      </c>
      <c r="B282" s="35" t="s">
        <v>424</v>
      </c>
      <c r="C282" s="36" t="s">
        <v>210</v>
      </c>
      <c r="D282" s="35" t="s">
        <v>149</v>
      </c>
      <c r="E282" s="35" t="s">
        <v>454</v>
      </c>
    </row>
    <row r="283" spans="1:5" ht="45" customHeight="1" x14ac:dyDescent="0.25">
      <c r="A283" s="37" t="s">
        <v>575</v>
      </c>
      <c r="B283" s="37" t="s">
        <v>426</v>
      </c>
      <c r="C283" s="38" t="s">
        <v>210</v>
      </c>
      <c r="D283" s="37" t="s">
        <v>149</v>
      </c>
      <c r="E283" s="37" t="s">
        <v>252</v>
      </c>
    </row>
    <row r="284" spans="1:5" ht="45" customHeight="1" x14ac:dyDescent="0.25">
      <c r="A284" s="35" t="s">
        <v>581</v>
      </c>
      <c r="B284" s="35" t="s">
        <v>582</v>
      </c>
      <c r="C284" s="36" t="s">
        <v>210</v>
      </c>
      <c r="D284" s="35" t="s">
        <v>149</v>
      </c>
      <c r="E284" s="35" t="s">
        <v>583</v>
      </c>
    </row>
    <row r="285" spans="1:5" ht="45" customHeight="1" x14ac:dyDescent="0.25">
      <c r="A285" s="37" t="s">
        <v>581</v>
      </c>
      <c r="B285" s="37" t="s">
        <v>406</v>
      </c>
      <c r="C285" s="38" t="s">
        <v>210</v>
      </c>
      <c r="D285" s="37" t="s">
        <v>155</v>
      </c>
      <c r="E285" s="37" t="s">
        <v>459</v>
      </c>
    </row>
    <row r="286" spans="1:5" ht="45" customHeight="1" x14ac:dyDescent="0.25">
      <c r="A286" s="35" t="s">
        <v>581</v>
      </c>
      <c r="B286" s="35" t="s">
        <v>492</v>
      </c>
      <c r="C286" s="36" t="s">
        <v>210</v>
      </c>
      <c r="D286" s="35" t="s">
        <v>155</v>
      </c>
      <c r="E286" s="35" t="s">
        <v>584</v>
      </c>
    </row>
    <row r="287" spans="1:5" ht="45" customHeight="1" x14ac:dyDescent="0.25">
      <c r="A287" s="37" t="s">
        <v>581</v>
      </c>
      <c r="B287" s="37" t="s">
        <v>216</v>
      </c>
      <c r="C287" s="38" t="s">
        <v>210</v>
      </c>
      <c r="D287" s="37" t="s">
        <v>146</v>
      </c>
      <c r="E287" s="37" t="s">
        <v>217</v>
      </c>
    </row>
    <row r="288" spans="1:5" ht="45" customHeight="1" x14ac:dyDescent="0.25">
      <c r="A288" s="35" t="s">
        <v>581</v>
      </c>
      <c r="B288" s="35" t="s">
        <v>424</v>
      </c>
      <c r="C288" s="36" t="s">
        <v>210</v>
      </c>
      <c r="D288" s="35" t="s">
        <v>149</v>
      </c>
      <c r="E288" s="35" t="s">
        <v>454</v>
      </c>
    </row>
    <row r="289" spans="1:5" ht="45" customHeight="1" x14ac:dyDescent="0.25">
      <c r="A289" s="37" t="s">
        <v>581</v>
      </c>
      <c r="B289" s="37" t="s">
        <v>426</v>
      </c>
      <c r="C289" s="38" t="s">
        <v>210</v>
      </c>
      <c r="D289" s="37" t="s">
        <v>149</v>
      </c>
      <c r="E289" s="37" t="s">
        <v>252</v>
      </c>
    </row>
    <row r="290" spans="1:5" ht="45" customHeight="1" x14ac:dyDescent="0.25">
      <c r="A290" s="35" t="s">
        <v>581</v>
      </c>
      <c r="B290" s="35" t="s">
        <v>585</v>
      </c>
      <c r="C290" s="36" t="s">
        <v>210</v>
      </c>
      <c r="D290" s="35" t="s">
        <v>149</v>
      </c>
      <c r="E290" s="35" t="s">
        <v>586</v>
      </c>
    </row>
    <row r="291" spans="1:5" ht="45" customHeight="1" x14ac:dyDescent="0.25">
      <c r="A291" s="37" t="s">
        <v>581</v>
      </c>
      <c r="B291" s="37" t="s">
        <v>587</v>
      </c>
      <c r="C291" s="38" t="s">
        <v>210</v>
      </c>
      <c r="D291" s="37" t="s">
        <v>149</v>
      </c>
      <c r="E291" s="37" t="s">
        <v>252</v>
      </c>
    </row>
    <row r="292" spans="1:5" ht="45" customHeight="1" x14ac:dyDescent="0.25">
      <c r="A292" s="35" t="s">
        <v>588</v>
      </c>
      <c r="B292" s="35" t="s">
        <v>589</v>
      </c>
      <c r="C292" s="36" t="s">
        <v>210</v>
      </c>
      <c r="D292" s="35" t="s">
        <v>158</v>
      </c>
      <c r="E292" s="35" t="s">
        <v>590</v>
      </c>
    </row>
    <row r="293" spans="1:5" ht="45" customHeight="1" x14ac:dyDescent="0.25">
      <c r="A293" s="37" t="s">
        <v>588</v>
      </c>
      <c r="B293" s="37" t="s">
        <v>216</v>
      </c>
      <c r="C293" s="38" t="s">
        <v>210</v>
      </c>
      <c r="D293" s="37" t="s">
        <v>146</v>
      </c>
      <c r="E293" s="37" t="s">
        <v>217</v>
      </c>
    </row>
    <row r="294" spans="1:5" ht="45" customHeight="1" x14ac:dyDescent="0.25">
      <c r="A294" s="35" t="s">
        <v>588</v>
      </c>
      <c r="B294" s="35" t="s">
        <v>591</v>
      </c>
      <c r="C294" s="36" t="s">
        <v>210</v>
      </c>
      <c r="D294" s="35" t="s">
        <v>149</v>
      </c>
      <c r="E294" s="35" t="s">
        <v>592</v>
      </c>
    </row>
    <row r="295" spans="1:5" ht="45" customHeight="1" x14ac:dyDescent="0.25">
      <c r="A295" s="37" t="s">
        <v>588</v>
      </c>
      <c r="B295" s="37" t="s">
        <v>593</v>
      </c>
      <c r="C295" s="38" t="s">
        <v>210</v>
      </c>
      <c r="D295" s="37" t="s">
        <v>149</v>
      </c>
      <c r="E295" s="37" t="s">
        <v>252</v>
      </c>
    </row>
    <row r="296" spans="1:5" ht="45" customHeight="1" x14ac:dyDescent="0.25">
      <c r="A296" s="35" t="s">
        <v>594</v>
      </c>
      <c r="B296" s="35" t="s">
        <v>595</v>
      </c>
      <c r="C296" s="36" t="s">
        <v>210</v>
      </c>
      <c r="D296" s="35" t="s">
        <v>152</v>
      </c>
      <c r="E296" s="35" t="s">
        <v>596</v>
      </c>
    </row>
    <row r="297" spans="1:5" ht="45" customHeight="1" x14ac:dyDescent="0.25">
      <c r="A297" s="37" t="s">
        <v>594</v>
      </c>
      <c r="B297" s="37" t="s">
        <v>597</v>
      </c>
      <c r="C297" s="38" t="s">
        <v>210</v>
      </c>
      <c r="D297" s="37" t="s">
        <v>164</v>
      </c>
      <c r="E297" s="37" t="s">
        <v>598</v>
      </c>
    </row>
    <row r="298" spans="1:5" ht="45" customHeight="1" x14ac:dyDescent="0.25">
      <c r="A298" s="35" t="s">
        <v>594</v>
      </c>
      <c r="B298" s="35" t="s">
        <v>216</v>
      </c>
      <c r="C298" s="36" t="s">
        <v>210</v>
      </c>
      <c r="D298" s="35" t="s">
        <v>146</v>
      </c>
      <c r="E298" s="35" t="s">
        <v>217</v>
      </c>
    </row>
    <row r="299" spans="1:5" ht="45" customHeight="1" x14ac:dyDescent="0.25">
      <c r="A299" s="37" t="s">
        <v>594</v>
      </c>
      <c r="B299" s="37" t="s">
        <v>295</v>
      </c>
      <c r="C299" s="38" t="s">
        <v>210</v>
      </c>
      <c r="D299" s="37" t="s">
        <v>149</v>
      </c>
      <c r="E299" s="37" t="s">
        <v>599</v>
      </c>
    </row>
    <row r="300" spans="1:5" ht="45" customHeight="1" x14ac:dyDescent="0.25">
      <c r="A300" s="35" t="s">
        <v>600</v>
      </c>
      <c r="B300" s="35" t="s">
        <v>216</v>
      </c>
      <c r="C300" s="36" t="s">
        <v>210</v>
      </c>
      <c r="D300" s="35" t="s">
        <v>146</v>
      </c>
      <c r="E300" s="35" t="s">
        <v>217</v>
      </c>
    </row>
    <row r="301" spans="1:5" ht="45" customHeight="1" x14ac:dyDescent="0.25">
      <c r="A301" s="37" t="s">
        <v>601</v>
      </c>
      <c r="B301" s="37" t="s">
        <v>316</v>
      </c>
      <c r="C301" s="38" t="s">
        <v>210</v>
      </c>
      <c r="D301" s="37" t="s">
        <v>152</v>
      </c>
      <c r="E301" s="37" t="s">
        <v>317</v>
      </c>
    </row>
    <row r="302" spans="1:5" ht="45" customHeight="1" x14ac:dyDescent="0.25">
      <c r="A302" s="35" t="s">
        <v>601</v>
      </c>
      <c r="B302" s="35" t="s">
        <v>216</v>
      </c>
      <c r="C302" s="36" t="s">
        <v>210</v>
      </c>
      <c r="D302" s="35" t="s">
        <v>146</v>
      </c>
      <c r="E302" s="35" t="s">
        <v>217</v>
      </c>
    </row>
    <row r="303" spans="1:5" ht="45" customHeight="1" x14ac:dyDescent="0.25">
      <c r="A303" s="37" t="s">
        <v>602</v>
      </c>
      <c r="B303" s="37" t="s">
        <v>216</v>
      </c>
      <c r="C303" s="38" t="s">
        <v>210</v>
      </c>
      <c r="D303" s="37" t="s">
        <v>146</v>
      </c>
      <c r="E303" s="37" t="s">
        <v>603</v>
      </c>
    </row>
    <row r="304" spans="1:5" ht="45" customHeight="1" x14ac:dyDescent="0.25">
      <c r="A304" s="35" t="s">
        <v>604</v>
      </c>
      <c r="B304" s="35" t="s">
        <v>605</v>
      </c>
      <c r="C304" s="36" t="s">
        <v>210</v>
      </c>
      <c r="D304" s="35" t="s">
        <v>146</v>
      </c>
      <c r="E304" s="35" t="s">
        <v>530</v>
      </c>
    </row>
    <row r="305" spans="1:5" ht="45" customHeight="1" x14ac:dyDescent="0.25">
      <c r="A305" s="37" t="s">
        <v>604</v>
      </c>
      <c r="B305" s="37" t="s">
        <v>606</v>
      </c>
      <c r="C305" s="38" t="s">
        <v>210</v>
      </c>
      <c r="D305" s="37" t="s">
        <v>152</v>
      </c>
      <c r="E305" s="37" t="s">
        <v>607</v>
      </c>
    </row>
    <row r="306" spans="1:5" ht="45" customHeight="1" x14ac:dyDescent="0.25">
      <c r="A306" s="35" t="s">
        <v>604</v>
      </c>
      <c r="B306" s="35" t="s">
        <v>216</v>
      </c>
      <c r="C306" s="36" t="s">
        <v>210</v>
      </c>
      <c r="D306" s="35" t="s">
        <v>146</v>
      </c>
      <c r="E306" s="35" t="s">
        <v>217</v>
      </c>
    </row>
    <row r="307" spans="1:5" ht="45" customHeight="1" x14ac:dyDescent="0.25">
      <c r="A307" s="37" t="s">
        <v>604</v>
      </c>
      <c r="B307" s="37" t="s">
        <v>608</v>
      </c>
      <c r="C307" s="38" t="s">
        <v>210</v>
      </c>
      <c r="D307" s="37" t="s">
        <v>149</v>
      </c>
      <c r="E307" s="37" t="s">
        <v>609</v>
      </c>
    </row>
    <row r="308" spans="1:5" ht="45" customHeight="1" x14ac:dyDescent="0.25">
      <c r="A308" s="35" t="s">
        <v>604</v>
      </c>
      <c r="B308" s="35" t="s">
        <v>610</v>
      </c>
      <c r="C308" s="36" t="s">
        <v>210</v>
      </c>
      <c r="D308" s="35" t="s">
        <v>149</v>
      </c>
      <c r="E308" s="35" t="s">
        <v>252</v>
      </c>
    </row>
    <row r="309" spans="1:5" ht="45" customHeight="1" x14ac:dyDescent="0.25">
      <c r="A309" s="37" t="s">
        <v>611</v>
      </c>
      <c r="B309" s="37" t="s">
        <v>612</v>
      </c>
      <c r="C309" s="38" t="s">
        <v>210</v>
      </c>
      <c r="D309" s="37" t="s">
        <v>152</v>
      </c>
      <c r="E309" s="37" t="s">
        <v>262</v>
      </c>
    </row>
    <row r="310" spans="1:5" ht="45" customHeight="1" x14ac:dyDescent="0.25">
      <c r="A310" s="35" t="s">
        <v>611</v>
      </c>
      <c r="B310" s="35" t="s">
        <v>613</v>
      </c>
      <c r="C310" s="36" t="s">
        <v>210</v>
      </c>
      <c r="D310" s="35" t="s">
        <v>152</v>
      </c>
      <c r="E310" s="35" t="s">
        <v>614</v>
      </c>
    </row>
    <row r="311" spans="1:5" ht="45" customHeight="1" x14ac:dyDescent="0.25">
      <c r="A311" s="37" t="s">
        <v>611</v>
      </c>
      <c r="B311" s="37" t="s">
        <v>615</v>
      </c>
      <c r="C311" s="38" t="s">
        <v>210</v>
      </c>
      <c r="D311" s="37" t="s">
        <v>152</v>
      </c>
      <c r="E311" s="37" t="s">
        <v>215</v>
      </c>
    </row>
    <row r="312" spans="1:5" ht="45" customHeight="1" x14ac:dyDescent="0.25">
      <c r="A312" s="35" t="s">
        <v>611</v>
      </c>
      <c r="B312" s="35" t="s">
        <v>278</v>
      </c>
      <c r="C312" s="36" t="s">
        <v>210</v>
      </c>
      <c r="D312" s="35" t="s">
        <v>152</v>
      </c>
      <c r="E312" s="35" t="s">
        <v>215</v>
      </c>
    </row>
    <row r="313" spans="1:5" ht="45" customHeight="1" x14ac:dyDescent="0.25">
      <c r="A313" s="37" t="s">
        <v>611</v>
      </c>
      <c r="B313" s="37" t="s">
        <v>616</v>
      </c>
      <c r="C313" s="38" t="s">
        <v>210</v>
      </c>
      <c r="D313" s="37" t="s">
        <v>149</v>
      </c>
      <c r="E313" s="37" t="s">
        <v>617</v>
      </c>
    </row>
    <row r="314" spans="1:5" ht="45" customHeight="1" x14ac:dyDescent="0.25">
      <c r="A314" s="35" t="s">
        <v>611</v>
      </c>
      <c r="B314" s="35" t="s">
        <v>618</v>
      </c>
      <c r="C314" s="36" t="s">
        <v>210</v>
      </c>
      <c r="D314" s="35" t="s">
        <v>155</v>
      </c>
      <c r="E314" s="35" t="s">
        <v>619</v>
      </c>
    </row>
    <row r="315" spans="1:5" ht="45" customHeight="1" x14ac:dyDescent="0.25">
      <c r="A315" s="37" t="s">
        <v>611</v>
      </c>
      <c r="B315" s="37" t="s">
        <v>566</v>
      </c>
      <c r="C315" s="38" t="s">
        <v>210</v>
      </c>
      <c r="D315" s="37" t="s">
        <v>155</v>
      </c>
      <c r="E315" s="37" t="s">
        <v>567</v>
      </c>
    </row>
    <row r="316" spans="1:5" ht="45" customHeight="1" x14ac:dyDescent="0.25">
      <c r="A316" s="35" t="s">
        <v>611</v>
      </c>
      <c r="B316" s="35" t="s">
        <v>216</v>
      </c>
      <c r="C316" s="36" t="s">
        <v>210</v>
      </c>
      <c r="D316" s="35" t="s">
        <v>146</v>
      </c>
      <c r="E316" s="35" t="s">
        <v>620</v>
      </c>
    </row>
    <row r="317" spans="1:5" ht="45" customHeight="1" x14ac:dyDescent="0.25">
      <c r="A317" s="37" t="s">
        <v>621</v>
      </c>
      <c r="B317" s="37" t="s">
        <v>622</v>
      </c>
      <c r="C317" s="38" t="s">
        <v>210</v>
      </c>
      <c r="D317" s="37" t="s">
        <v>152</v>
      </c>
      <c r="E317" s="37" t="s">
        <v>623</v>
      </c>
    </row>
    <row r="318" spans="1:5" ht="45" customHeight="1" x14ac:dyDescent="0.25">
      <c r="A318" s="35" t="s">
        <v>621</v>
      </c>
      <c r="B318" s="35" t="s">
        <v>613</v>
      </c>
      <c r="C318" s="36" t="s">
        <v>210</v>
      </c>
      <c r="D318" s="35" t="s">
        <v>152</v>
      </c>
      <c r="E318" s="35" t="s">
        <v>614</v>
      </c>
    </row>
    <row r="319" spans="1:5" ht="45" customHeight="1" x14ac:dyDescent="0.25">
      <c r="A319" s="37" t="s">
        <v>621</v>
      </c>
      <c r="B319" s="37" t="s">
        <v>595</v>
      </c>
      <c r="C319" s="38" t="s">
        <v>210</v>
      </c>
      <c r="D319" s="37" t="s">
        <v>152</v>
      </c>
      <c r="E319" s="37" t="s">
        <v>215</v>
      </c>
    </row>
    <row r="320" spans="1:5" ht="45" customHeight="1" x14ac:dyDescent="0.25">
      <c r="A320" s="35" t="s">
        <v>621</v>
      </c>
      <c r="B320" s="35" t="s">
        <v>624</v>
      </c>
      <c r="C320" s="36" t="s">
        <v>210</v>
      </c>
      <c r="D320" s="35" t="s">
        <v>149</v>
      </c>
      <c r="E320" s="35" t="s">
        <v>625</v>
      </c>
    </row>
    <row r="321" spans="1:5" ht="45" customHeight="1" x14ac:dyDescent="0.25">
      <c r="A321" s="37" t="s">
        <v>621</v>
      </c>
      <c r="B321" s="37" t="s">
        <v>626</v>
      </c>
      <c r="C321" s="38" t="s">
        <v>210</v>
      </c>
      <c r="D321" s="37" t="s">
        <v>149</v>
      </c>
      <c r="E321" s="37" t="s">
        <v>627</v>
      </c>
    </row>
    <row r="322" spans="1:5" ht="45" customHeight="1" x14ac:dyDescent="0.25">
      <c r="A322" s="35" t="s">
        <v>621</v>
      </c>
      <c r="B322" s="35" t="s">
        <v>285</v>
      </c>
      <c r="C322" s="36" t="s">
        <v>210</v>
      </c>
      <c r="D322" s="35" t="s">
        <v>146</v>
      </c>
      <c r="E322" s="35" t="s">
        <v>628</v>
      </c>
    </row>
    <row r="323" spans="1:5" ht="45" customHeight="1" x14ac:dyDescent="0.25">
      <c r="A323" s="37" t="s">
        <v>621</v>
      </c>
      <c r="B323" s="37" t="s">
        <v>216</v>
      </c>
      <c r="C323" s="38" t="s">
        <v>210</v>
      </c>
      <c r="D323" s="37" t="s">
        <v>146</v>
      </c>
      <c r="E323" s="37" t="s">
        <v>217</v>
      </c>
    </row>
    <row r="324" spans="1:5" ht="45" customHeight="1" x14ac:dyDescent="0.25">
      <c r="A324" s="35" t="s">
        <v>629</v>
      </c>
      <c r="B324" s="35" t="s">
        <v>216</v>
      </c>
      <c r="C324" s="36" t="s">
        <v>210</v>
      </c>
      <c r="D324" s="35" t="s">
        <v>146</v>
      </c>
      <c r="E324" s="35" t="s">
        <v>217</v>
      </c>
    </row>
    <row r="325" spans="1:5" ht="45" customHeight="1" x14ac:dyDescent="0.25">
      <c r="A325" s="37" t="s">
        <v>630</v>
      </c>
      <c r="B325" s="37" t="s">
        <v>631</v>
      </c>
      <c r="C325" s="38" t="s">
        <v>210</v>
      </c>
      <c r="D325" s="37" t="s">
        <v>149</v>
      </c>
      <c r="E325" s="37" t="s">
        <v>632</v>
      </c>
    </row>
    <row r="326" spans="1:5" ht="45" customHeight="1" x14ac:dyDescent="0.25">
      <c r="A326" s="35" t="s">
        <v>630</v>
      </c>
      <c r="B326" s="35" t="s">
        <v>216</v>
      </c>
      <c r="C326" s="36" t="s">
        <v>210</v>
      </c>
      <c r="D326" s="35" t="s">
        <v>146</v>
      </c>
      <c r="E326" s="35" t="s">
        <v>217</v>
      </c>
    </row>
    <row r="327" spans="1:5" ht="45" customHeight="1" x14ac:dyDescent="0.25">
      <c r="A327" s="37" t="s">
        <v>633</v>
      </c>
      <c r="B327" s="37" t="s">
        <v>634</v>
      </c>
      <c r="C327" s="38" t="s">
        <v>210</v>
      </c>
      <c r="D327" s="37" t="s">
        <v>155</v>
      </c>
      <c r="E327" s="37" t="s">
        <v>635</v>
      </c>
    </row>
    <row r="328" spans="1:5" ht="45" customHeight="1" x14ac:dyDescent="0.25">
      <c r="A328" s="35" t="s">
        <v>633</v>
      </c>
      <c r="B328" s="35" t="s">
        <v>636</v>
      </c>
      <c r="C328" s="36" t="s">
        <v>210</v>
      </c>
      <c r="D328" s="35" t="s">
        <v>146</v>
      </c>
      <c r="E328" s="35" t="s">
        <v>637</v>
      </c>
    </row>
    <row r="329" spans="1:5" ht="45" customHeight="1" x14ac:dyDescent="0.25">
      <c r="A329" s="37" t="s">
        <v>638</v>
      </c>
      <c r="B329" s="37" t="s">
        <v>622</v>
      </c>
      <c r="C329" s="38" t="s">
        <v>210</v>
      </c>
      <c r="D329" s="37" t="s">
        <v>152</v>
      </c>
      <c r="E329" s="37" t="s">
        <v>639</v>
      </c>
    </row>
    <row r="330" spans="1:5" ht="45" customHeight="1" x14ac:dyDescent="0.25">
      <c r="A330" s="35" t="s">
        <v>638</v>
      </c>
      <c r="B330" s="35" t="s">
        <v>640</v>
      </c>
      <c r="C330" s="36" t="s">
        <v>210</v>
      </c>
      <c r="D330" s="35" t="s">
        <v>152</v>
      </c>
      <c r="E330" s="35" t="s">
        <v>641</v>
      </c>
    </row>
    <row r="331" spans="1:5" ht="45" customHeight="1" x14ac:dyDescent="0.25">
      <c r="A331" s="37" t="s">
        <v>638</v>
      </c>
      <c r="B331" s="37" t="s">
        <v>642</v>
      </c>
      <c r="C331" s="38" t="s">
        <v>210</v>
      </c>
      <c r="D331" s="37" t="s">
        <v>146</v>
      </c>
      <c r="E331" s="37" t="s">
        <v>643</v>
      </c>
    </row>
    <row r="332" spans="1:5" ht="45" customHeight="1" x14ac:dyDescent="0.25">
      <c r="A332" s="35" t="s">
        <v>638</v>
      </c>
      <c r="B332" s="35" t="s">
        <v>232</v>
      </c>
      <c r="C332" s="36" t="s">
        <v>210</v>
      </c>
      <c r="D332" s="35" t="s">
        <v>146</v>
      </c>
      <c r="E332" s="35" t="s">
        <v>644</v>
      </c>
    </row>
    <row r="333" spans="1:5" ht="45" customHeight="1" x14ac:dyDescent="0.25">
      <c r="A333" s="37" t="s">
        <v>638</v>
      </c>
      <c r="B333" s="37" t="s">
        <v>295</v>
      </c>
      <c r="C333" s="38" t="s">
        <v>210</v>
      </c>
      <c r="D333" s="37" t="s">
        <v>149</v>
      </c>
      <c r="E333" s="37" t="s">
        <v>645</v>
      </c>
    </row>
    <row r="334" spans="1:5" ht="45" customHeight="1" x14ac:dyDescent="0.25">
      <c r="A334" s="35" t="s">
        <v>646</v>
      </c>
      <c r="B334" s="35" t="s">
        <v>647</v>
      </c>
      <c r="C334" s="36" t="s">
        <v>210</v>
      </c>
      <c r="D334" s="35" t="s">
        <v>149</v>
      </c>
      <c r="E334" s="35" t="s">
        <v>648</v>
      </c>
    </row>
    <row r="335" spans="1:5" ht="45" customHeight="1" x14ac:dyDescent="0.25">
      <c r="A335" s="37" t="s">
        <v>646</v>
      </c>
      <c r="B335" s="37" t="s">
        <v>649</v>
      </c>
      <c r="C335" s="38" t="s">
        <v>210</v>
      </c>
      <c r="D335" s="37" t="s">
        <v>149</v>
      </c>
      <c r="E335" s="37" t="s">
        <v>650</v>
      </c>
    </row>
    <row r="336" spans="1:5" ht="45" customHeight="1" x14ac:dyDescent="0.25">
      <c r="A336" s="35" t="s">
        <v>646</v>
      </c>
      <c r="B336" s="35" t="s">
        <v>651</v>
      </c>
      <c r="C336" s="36" t="s">
        <v>210</v>
      </c>
      <c r="D336" s="35" t="s">
        <v>149</v>
      </c>
      <c r="E336" s="35" t="s">
        <v>652</v>
      </c>
    </row>
    <row r="337" spans="1:5" ht="45" customHeight="1" x14ac:dyDescent="0.25">
      <c r="A337" s="37" t="s">
        <v>646</v>
      </c>
      <c r="B337" s="37" t="s">
        <v>653</v>
      </c>
      <c r="C337" s="38" t="s">
        <v>210</v>
      </c>
      <c r="D337" s="37" t="s">
        <v>149</v>
      </c>
      <c r="E337" s="37" t="s">
        <v>654</v>
      </c>
    </row>
    <row r="338" spans="1:5" ht="45" customHeight="1" x14ac:dyDescent="0.25">
      <c r="A338" s="35" t="s">
        <v>646</v>
      </c>
      <c r="B338" s="35" t="s">
        <v>655</v>
      </c>
      <c r="C338" s="36" t="s">
        <v>210</v>
      </c>
      <c r="D338" s="35" t="s">
        <v>152</v>
      </c>
      <c r="E338" s="35" t="s">
        <v>656</v>
      </c>
    </row>
    <row r="339" spans="1:5" ht="45" customHeight="1" x14ac:dyDescent="0.25">
      <c r="A339" s="37" t="s">
        <v>646</v>
      </c>
      <c r="B339" s="37" t="s">
        <v>595</v>
      </c>
      <c r="C339" s="38" t="s">
        <v>210</v>
      </c>
      <c r="D339" s="37" t="s">
        <v>152</v>
      </c>
      <c r="E339" s="37" t="s">
        <v>215</v>
      </c>
    </row>
    <row r="340" spans="1:5" ht="45" customHeight="1" x14ac:dyDescent="0.25">
      <c r="A340" s="35" t="s">
        <v>646</v>
      </c>
      <c r="B340" s="35" t="s">
        <v>278</v>
      </c>
      <c r="C340" s="36" t="s">
        <v>210</v>
      </c>
      <c r="D340" s="35" t="s">
        <v>152</v>
      </c>
      <c r="E340" s="35" t="s">
        <v>215</v>
      </c>
    </row>
    <row r="341" spans="1:5" ht="45" customHeight="1" x14ac:dyDescent="0.25">
      <c r="A341" s="37" t="s">
        <v>646</v>
      </c>
      <c r="B341" s="37" t="s">
        <v>657</v>
      </c>
      <c r="C341" s="38" t="s">
        <v>210</v>
      </c>
      <c r="D341" s="37" t="s">
        <v>161</v>
      </c>
      <c r="E341" s="37" t="s">
        <v>658</v>
      </c>
    </row>
    <row r="342" spans="1:5" ht="45" customHeight="1" x14ac:dyDescent="0.25">
      <c r="A342" s="35" t="s">
        <v>646</v>
      </c>
      <c r="B342" s="35" t="s">
        <v>216</v>
      </c>
      <c r="C342" s="36" t="s">
        <v>210</v>
      </c>
      <c r="D342" s="35" t="s">
        <v>146</v>
      </c>
      <c r="E342" s="35" t="s">
        <v>217</v>
      </c>
    </row>
    <row r="343" spans="1:5" ht="45" customHeight="1" x14ac:dyDescent="0.25">
      <c r="A343" s="37" t="s">
        <v>659</v>
      </c>
      <c r="B343" s="37" t="s">
        <v>636</v>
      </c>
      <c r="C343" s="38" t="s">
        <v>210</v>
      </c>
      <c r="D343" s="37" t="s">
        <v>146</v>
      </c>
      <c r="E343" s="37" t="s">
        <v>637</v>
      </c>
    </row>
    <row r="344" spans="1:5" ht="45" customHeight="1" x14ac:dyDescent="0.25">
      <c r="A344" s="35" t="s">
        <v>660</v>
      </c>
      <c r="B344" s="35" t="s">
        <v>216</v>
      </c>
      <c r="C344" s="36" t="s">
        <v>210</v>
      </c>
      <c r="D344" s="35" t="s">
        <v>146</v>
      </c>
      <c r="E344" s="35" t="s">
        <v>217</v>
      </c>
    </row>
    <row r="345" spans="1:5" ht="45" customHeight="1" x14ac:dyDescent="0.25">
      <c r="A345" s="37" t="s">
        <v>661</v>
      </c>
      <c r="B345" s="37" t="s">
        <v>622</v>
      </c>
      <c r="C345" s="38" t="s">
        <v>210</v>
      </c>
      <c r="D345" s="37" t="s">
        <v>152</v>
      </c>
      <c r="E345" s="37" t="s">
        <v>662</v>
      </c>
    </row>
    <row r="346" spans="1:5" ht="45" customHeight="1" x14ac:dyDescent="0.25">
      <c r="A346" s="35" t="s">
        <v>661</v>
      </c>
      <c r="B346" s="35" t="s">
        <v>642</v>
      </c>
      <c r="C346" s="36" t="s">
        <v>210</v>
      </c>
      <c r="D346" s="35" t="s">
        <v>146</v>
      </c>
      <c r="E346" s="35" t="s">
        <v>663</v>
      </c>
    </row>
    <row r="347" spans="1:5" ht="45" customHeight="1" x14ac:dyDescent="0.25">
      <c r="A347" s="37" t="s">
        <v>661</v>
      </c>
      <c r="B347" s="37" t="s">
        <v>216</v>
      </c>
      <c r="C347" s="38" t="s">
        <v>210</v>
      </c>
      <c r="D347" s="37" t="s">
        <v>146</v>
      </c>
      <c r="E347" s="37" t="s">
        <v>217</v>
      </c>
    </row>
    <row r="348" spans="1:5" ht="45" customHeight="1" x14ac:dyDescent="0.25">
      <c r="A348" s="35" t="s">
        <v>664</v>
      </c>
      <c r="B348" s="35" t="s">
        <v>665</v>
      </c>
      <c r="C348" s="36" t="s">
        <v>210</v>
      </c>
      <c r="D348" s="35" t="s">
        <v>149</v>
      </c>
      <c r="E348" s="35" t="s">
        <v>666</v>
      </c>
    </row>
    <row r="349" spans="1:5" ht="45" customHeight="1" x14ac:dyDescent="0.25">
      <c r="A349" s="37" t="s">
        <v>664</v>
      </c>
      <c r="B349" s="37" t="s">
        <v>636</v>
      </c>
      <c r="C349" s="38" t="s">
        <v>210</v>
      </c>
      <c r="D349" s="37" t="s">
        <v>146</v>
      </c>
      <c r="E349" s="37" t="s">
        <v>637</v>
      </c>
    </row>
    <row r="350" spans="1:5" ht="45" customHeight="1" x14ac:dyDescent="0.25">
      <c r="A350" s="35" t="s">
        <v>664</v>
      </c>
      <c r="B350" s="35" t="s">
        <v>667</v>
      </c>
      <c r="C350" s="36" t="s">
        <v>210</v>
      </c>
      <c r="D350" s="35" t="s">
        <v>149</v>
      </c>
      <c r="E350" s="35" t="s">
        <v>668</v>
      </c>
    </row>
    <row r="351" spans="1:5" ht="45" customHeight="1" x14ac:dyDescent="0.25">
      <c r="A351" s="37" t="s">
        <v>664</v>
      </c>
      <c r="B351" s="37" t="s">
        <v>669</v>
      </c>
      <c r="C351" s="38" t="s">
        <v>210</v>
      </c>
      <c r="D351" s="37" t="s">
        <v>149</v>
      </c>
      <c r="E351" s="37" t="s">
        <v>668</v>
      </c>
    </row>
    <row r="352" spans="1:5" ht="45" customHeight="1" x14ac:dyDescent="0.25">
      <c r="A352" s="35" t="s">
        <v>670</v>
      </c>
      <c r="B352" s="35" t="s">
        <v>671</v>
      </c>
      <c r="C352" s="36" t="s">
        <v>210</v>
      </c>
      <c r="D352" s="35" t="s">
        <v>149</v>
      </c>
      <c r="E352" s="35" t="s">
        <v>666</v>
      </c>
    </row>
    <row r="353" spans="1:5" ht="45" customHeight="1" x14ac:dyDescent="0.25">
      <c r="A353" s="37" t="s">
        <v>670</v>
      </c>
      <c r="B353" s="37" t="s">
        <v>672</v>
      </c>
      <c r="C353" s="38" t="s">
        <v>210</v>
      </c>
      <c r="D353" s="37" t="s">
        <v>149</v>
      </c>
      <c r="E353" s="37" t="s">
        <v>666</v>
      </c>
    </row>
    <row r="354" spans="1:5" ht="45" customHeight="1" x14ac:dyDescent="0.25">
      <c r="A354" s="35" t="s">
        <v>670</v>
      </c>
      <c r="B354" s="35" t="s">
        <v>636</v>
      </c>
      <c r="C354" s="36" t="s">
        <v>210</v>
      </c>
      <c r="D354" s="35" t="s">
        <v>146</v>
      </c>
      <c r="E354" s="35" t="s">
        <v>637</v>
      </c>
    </row>
    <row r="355" spans="1:5" ht="45" customHeight="1" x14ac:dyDescent="0.25">
      <c r="A355" s="37" t="s">
        <v>673</v>
      </c>
      <c r="B355" s="37" t="s">
        <v>674</v>
      </c>
      <c r="C355" s="38" t="s">
        <v>210</v>
      </c>
      <c r="D355" s="37" t="s">
        <v>149</v>
      </c>
      <c r="E355" s="37" t="s">
        <v>675</v>
      </c>
    </row>
    <row r="356" spans="1:5" ht="45" customHeight="1" x14ac:dyDescent="0.25">
      <c r="A356" s="35" t="s">
        <v>673</v>
      </c>
      <c r="B356" s="35" t="s">
        <v>676</v>
      </c>
      <c r="C356" s="36" t="s">
        <v>210</v>
      </c>
      <c r="D356" s="35" t="s">
        <v>149</v>
      </c>
      <c r="E356" s="35" t="s">
        <v>677</v>
      </c>
    </row>
    <row r="357" spans="1:5" ht="45" customHeight="1" x14ac:dyDescent="0.25">
      <c r="A357" s="37" t="s">
        <v>673</v>
      </c>
      <c r="B357" s="37" t="s">
        <v>678</v>
      </c>
      <c r="C357" s="38" t="s">
        <v>210</v>
      </c>
      <c r="D357" s="37" t="s">
        <v>149</v>
      </c>
      <c r="E357" s="37" t="s">
        <v>679</v>
      </c>
    </row>
    <row r="358" spans="1:5" ht="45" customHeight="1" x14ac:dyDescent="0.25">
      <c r="A358" s="35" t="s">
        <v>673</v>
      </c>
      <c r="B358" s="35" t="s">
        <v>278</v>
      </c>
      <c r="C358" s="36" t="s">
        <v>210</v>
      </c>
      <c r="D358" s="35" t="s">
        <v>152</v>
      </c>
      <c r="E358" s="35" t="s">
        <v>215</v>
      </c>
    </row>
    <row r="359" spans="1:5" ht="45" customHeight="1" x14ac:dyDescent="0.25">
      <c r="A359" s="37" t="s">
        <v>673</v>
      </c>
      <c r="B359" s="37" t="s">
        <v>615</v>
      </c>
      <c r="C359" s="38" t="s">
        <v>210</v>
      </c>
      <c r="D359" s="37" t="s">
        <v>152</v>
      </c>
      <c r="E359" s="37" t="s">
        <v>215</v>
      </c>
    </row>
    <row r="360" spans="1:5" ht="45" customHeight="1" x14ac:dyDescent="0.25">
      <c r="A360" s="35" t="s">
        <v>673</v>
      </c>
      <c r="B360" s="35" t="s">
        <v>216</v>
      </c>
      <c r="C360" s="36" t="s">
        <v>210</v>
      </c>
      <c r="D360" s="35" t="s">
        <v>146</v>
      </c>
      <c r="E360" s="35" t="s">
        <v>217</v>
      </c>
    </row>
    <row r="361" spans="1:5" ht="45" customHeight="1" x14ac:dyDescent="0.25">
      <c r="A361" s="37" t="s">
        <v>680</v>
      </c>
      <c r="B361" s="37" t="s">
        <v>636</v>
      </c>
      <c r="C361" s="38" t="s">
        <v>210</v>
      </c>
      <c r="D361" s="37" t="s">
        <v>146</v>
      </c>
      <c r="E361" s="37" t="s">
        <v>681</v>
      </c>
    </row>
    <row r="362" spans="1:5" ht="45" customHeight="1" x14ac:dyDescent="0.25">
      <c r="A362" s="35" t="s">
        <v>680</v>
      </c>
      <c r="B362" s="35" t="s">
        <v>636</v>
      </c>
      <c r="C362" s="36" t="s">
        <v>210</v>
      </c>
      <c r="D362" s="35" t="s">
        <v>146</v>
      </c>
      <c r="E362" s="35" t="s">
        <v>681</v>
      </c>
    </row>
    <row r="363" spans="1:5" ht="45" customHeight="1" x14ac:dyDescent="0.25">
      <c r="A363" s="37" t="s">
        <v>680</v>
      </c>
      <c r="B363" s="37" t="s">
        <v>682</v>
      </c>
      <c r="C363" s="38" t="s">
        <v>210</v>
      </c>
      <c r="D363" s="37" t="s">
        <v>155</v>
      </c>
      <c r="E363" s="37" t="s">
        <v>635</v>
      </c>
    </row>
    <row r="364" spans="1:5" ht="45" customHeight="1" x14ac:dyDescent="0.25">
      <c r="A364" s="35" t="s">
        <v>680</v>
      </c>
      <c r="B364" s="35" t="s">
        <v>636</v>
      </c>
      <c r="C364" s="36" t="s">
        <v>210</v>
      </c>
      <c r="D364" s="35" t="s">
        <v>146</v>
      </c>
      <c r="E364" s="35" t="s">
        <v>637</v>
      </c>
    </row>
    <row r="365" spans="1:5" ht="45" customHeight="1" x14ac:dyDescent="0.25">
      <c r="A365" s="37" t="s">
        <v>683</v>
      </c>
      <c r="B365" s="37" t="s">
        <v>682</v>
      </c>
      <c r="C365" s="38" t="s">
        <v>210</v>
      </c>
      <c r="D365" s="37" t="s">
        <v>155</v>
      </c>
      <c r="E365" s="37" t="s">
        <v>635</v>
      </c>
    </row>
    <row r="366" spans="1:5" ht="45" customHeight="1" x14ac:dyDescent="0.25">
      <c r="A366" s="35" t="s">
        <v>683</v>
      </c>
      <c r="B366" s="35" t="s">
        <v>684</v>
      </c>
      <c r="C366" s="36" t="s">
        <v>210</v>
      </c>
      <c r="D366" s="35" t="s">
        <v>146</v>
      </c>
      <c r="E366" s="35" t="s">
        <v>637</v>
      </c>
    </row>
    <row r="367" spans="1:5" ht="45" customHeight="1" x14ac:dyDescent="0.25">
      <c r="A367" s="37" t="s">
        <v>685</v>
      </c>
      <c r="B367" s="37" t="s">
        <v>682</v>
      </c>
      <c r="C367" s="38" t="s">
        <v>210</v>
      </c>
      <c r="D367" s="37" t="s">
        <v>155</v>
      </c>
      <c r="E367" s="37" t="s">
        <v>635</v>
      </c>
    </row>
    <row r="368" spans="1:5" ht="45" customHeight="1" x14ac:dyDescent="0.25">
      <c r="A368" s="35" t="s">
        <v>685</v>
      </c>
      <c r="B368" s="35" t="s">
        <v>684</v>
      </c>
      <c r="C368" s="36" t="s">
        <v>210</v>
      </c>
      <c r="D368" s="35" t="s">
        <v>146</v>
      </c>
      <c r="E368" s="35" t="s">
        <v>637</v>
      </c>
    </row>
    <row r="369" spans="1:5" ht="45" customHeight="1" x14ac:dyDescent="0.25">
      <c r="A369" s="37" t="s">
        <v>686</v>
      </c>
      <c r="B369" s="37" t="s">
        <v>687</v>
      </c>
      <c r="C369" s="38" t="s">
        <v>210</v>
      </c>
      <c r="D369" s="37" t="s">
        <v>149</v>
      </c>
      <c r="E369" s="37" t="s">
        <v>666</v>
      </c>
    </row>
    <row r="370" spans="1:5" ht="45" customHeight="1" x14ac:dyDescent="0.25">
      <c r="A370" s="35" t="s">
        <v>686</v>
      </c>
      <c r="B370" s="35" t="s">
        <v>636</v>
      </c>
      <c r="C370" s="36" t="s">
        <v>210</v>
      </c>
      <c r="D370" s="35" t="s">
        <v>146</v>
      </c>
      <c r="E370" s="35" t="s">
        <v>637</v>
      </c>
    </row>
    <row r="371" spans="1:5" ht="45" customHeight="1" x14ac:dyDescent="0.25">
      <c r="A371" s="37" t="s">
        <v>686</v>
      </c>
      <c r="B371" s="37" t="s">
        <v>667</v>
      </c>
      <c r="C371" s="38" t="s">
        <v>210</v>
      </c>
      <c r="D371" s="37" t="s">
        <v>149</v>
      </c>
      <c r="E371" s="37" t="s">
        <v>668</v>
      </c>
    </row>
    <row r="372" spans="1:5" ht="45" customHeight="1" x14ac:dyDescent="0.25">
      <c r="A372" s="35" t="s">
        <v>686</v>
      </c>
      <c r="B372" s="35" t="s">
        <v>669</v>
      </c>
      <c r="C372" s="36" t="s">
        <v>210</v>
      </c>
      <c r="D372" s="35" t="s">
        <v>149</v>
      </c>
      <c r="E372" s="35" t="s">
        <v>668</v>
      </c>
    </row>
    <row r="373" spans="1:5" ht="45" customHeight="1" x14ac:dyDescent="0.25">
      <c r="A373" s="37" t="s">
        <v>688</v>
      </c>
      <c r="B373" s="37" t="s">
        <v>689</v>
      </c>
      <c r="C373" s="38" t="s">
        <v>210</v>
      </c>
      <c r="D373" s="37" t="s">
        <v>155</v>
      </c>
      <c r="E373" s="37" t="s">
        <v>635</v>
      </c>
    </row>
    <row r="374" spans="1:5" ht="45" customHeight="1" x14ac:dyDescent="0.25">
      <c r="A374" s="35" t="s">
        <v>688</v>
      </c>
      <c r="B374" s="35" t="s">
        <v>636</v>
      </c>
      <c r="C374" s="36" t="s">
        <v>210</v>
      </c>
      <c r="D374" s="35" t="s">
        <v>146</v>
      </c>
      <c r="E374" s="35" t="s">
        <v>637</v>
      </c>
    </row>
    <row r="375" spans="1:5" ht="45" customHeight="1" x14ac:dyDescent="0.25">
      <c r="A375" s="37" t="s">
        <v>688</v>
      </c>
      <c r="B375" s="37" t="s">
        <v>636</v>
      </c>
      <c r="C375" s="38" t="s">
        <v>210</v>
      </c>
      <c r="D375" s="37" t="s">
        <v>146</v>
      </c>
      <c r="E375" s="37" t="s">
        <v>637</v>
      </c>
    </row>
    <row r="376" spans="1:5" ht="45" customHeight="1" x14ac:dyDescent="0.25">
      <c r="A376" s="35" t="s">
        <v>690</v>
      </c>
      <c r="B376" s="35" t="s">
        <v>684</v>
      </c>
      <c r="C376" s="36" t="s">
        <v>210</v>
      </c>
      <c r="D376" s="35" t="s">
        <v>146</v>
      </c>
      <c r="E376" s="35" t="s">
        <v>637</v>
      </c>
    </row>
    <row r="377" spans="1:5" ht="45" customHeight="1" x14ac:dyDescent="0.25">
      <c r="A377" s="37" t="s">
        <v>691</v>
      </c>
      <c r="B377" s="37" t="s">
        <v>692</v>
      </c>
      <c r="C377" s="38" t="s">
        <v>210</v>
      </c>
      <c r="D377" s="37" t="s">
        <v>149</v>
      </c>
      <c r="E377" s="37" t="s">
        <v>666</v>
      </c>
    </row>
    <row r="378" spans="1:5" ht="45" customHeight="1" x14ac:dyDescent="0.25">
      <c r="A378" s="35" t="s">
        <v>691</v>
      </c>
      <c r="B378" s="35" t="s">
        <v>682</v>
      </c>
      <c r="C378" s="36" t="s">
        <v>210</v>
      </c>
      <c r="D378" s="35" t="s">
        <v>155</v>
      </c>
      <c r="E378" s="35" t="s">
        <v>635</v>
      </c>
    </row>
    <row r="379" spans="1:5" ht="45" customHeight="1" x14ac:dyDescent="0.25">
      <c r="A379" s="37" t="s">
        <v>691</v>
      </c>
      <c r="B379" s="37" t="s">
        <v>682</v>
      </c>
      <c r="C379" s="38" t="s">
        <v>210</v>
      </c>
      <c r="D379" s="37" t="s">
        <v>155</v>
      </c>
      <c r="E379" s="37" t="s">
        <v>635</v>
      </c>
    </row>
    <row r="380" spans="1:5" ht="45" customHeight="1" x14ac:dyDescent="0.25">
      <c r="A380" s="35" t="s">
        <v>691</v>
      </c>
      <c r="B380" s="35" t="s">
        <v>682</v>
      </c>
      <c r="C380" s="36" t="s">
        <v>210</v>
      </c>
      <c r="D380" s="35" t="s">
        <v>155</v>
      </c>
      <c r="E380" s="35" t="s">
        <v>635</v>
      </c>
    </row>
    <row r="381" spans="1:5" ht="45" customHeight="1" x14ac:dyDescent="0.25">
      <c r="A381" s="37" t="s">
        <v>691</v>
      </c>
      <c r="B381" s="37" t="s">
        <v>636</v>
      </c>
      <c r="C381" s="38" t="s">
        <v>210</v>
      </c>
      <c r="D381" s="37" t="s">
        <v>146</v>
      </c>
      <c r="E381" s="37" t="s">
        <v>637</v>
      </c>
    </row>
    <row r="382" spans="1:5" ht="45" customHeight="1" x14ac:dyDescent="0.25">
      <c r="A382" s="35" t="s">
        <v>693</v>
      </c>
      <c r="B382" s="35" t="s">
        <v>684</v>
      </c>
      <c r="C382" s="36" t="s">
        <v>210</v>
      </c>
      <c r="D382" s="35" t="s">
        <v>146</v>
      </c>
      <c r="E382" s="35" t="s">
        <v>637</v>
      </c>
    </row>
    <row r="383" spans="1:5" ht="45" customHeight="1" x14ac:dyDescent="0.25">
      <c r="A383" s="37" t="s">
        <v>694</v>
      </c>
      <c r="B383" s="37" t="s">
        <v>684</v>
      </c>
      <c r="C383" s="38" t="s">
        <v>210</v>
      </c>
      <c r="D383" s="37" t="s">
        <v>146</v>
      </c>
      <c r="E383" s="37" t="s">
        <v>637</v>
      </c>
    </row>
    <row r="384" spans="1:5" ht="45" customHeight="1" x14ac:dyDescent="0.25">
      <c r="A384" s="35" t="s">
        <v>695</v>
      </c>
      <c r="B384" s="35" t="s">
        <v>696</v>
      </c>
      <c r="C384" s="36" t="s">
        <v>210</v>
      </c>
      <c r="D384" s="35" t="s">
        <v>149</v>
      </c>
      <c r="E384" s="35" t="s">
        <v>666</v>
      </c>
    </row>
    <row r="385" spans="1:5" ht="45" customHeight="1" x14ac:dyDescent="0.25">
      <c r="A385" s="37" t="s">
        <v>695</v>
      </c>
      <c r="B385" s="37" t="s">
        <v>684</v>
      </c>
      <c r="C385" s="38" t="s">
        <v>210</v>
      </c>
      <c r="D385" s="37" t="s">
        <v>146</v>
      </c>
      <c r="E385" s="37" t="s">
        <v>637</v>
      </c>
    </row>
    <row r="386" spans="1:5" ht="45" customHeight="1" x14ac:dyDescent="0.25">
      <c r="A386" s="35" t="s">
        <v>697</v>
      </c>
      <c r="B386" s="35" t="s">
        <v>698</v>
      </c>
      <c r="C386" s="36" t="s">
        <v>210</v>
      </c>
      <c r="D386" s="35" t="s">
        <v>699</v>
      </c>
      <c r="E386" s="35" t="s">
        <v>700</v>
      </c>
    </row>
    <row r="387" spans="1:5" ht="45" customHeight="1" x14ac:dyDescent="0.25">
      <c r="A387" s="37" t="s">
        <v>697</v>
      </c>
      <c r="B387" s="37" t="s">
        <v>684</v>
      </c>
      <c r="C387" s="38" t="s">
        <v>210</v>
      </c>
      <c r="D387" s="37" t="s">
        <v>146</v>
      </c>
      <c r="E387" s="37" t="s">
        <v>637</v>
      </c>
    </row>
    <row r="388" spans="1:5" ht="45" customHeight="1" x14ac:dyDescent="0.25">
      <c r="A388" s="35" t="s">
        <v>697</v>
      </c>
      <c r="B388" s="35" t="s">
        <v>701</v>
      </c>
      <c r="C388" s="36" t="s">
        <v>210</v>
      </c>
      <c r="D388" s="35" t="s">
        <v>149</v>
      </c>
      <c r="E388" s="35" t="s">
        <v>702</v>
      </c>
    </row>
    <row r="389" spans="1:5" ht="45" customHeight="1" x14ac:dyDescent="0.25">
      <c r="A389" s="37" t="s">
        <v>697</v>
      </c>
      <c r="B389" s="37" t="s">
        <v>703</v>
      </c>
      <c r="C389" s="38" t="s">
        <v>210</v>
      </c>
      <c r="D389" s="37" t="s">
        <v>149</v>
      </c>
      <c r="E389" s="37" t="s">
        <v>702</v>
      </c>
    </row>
    <row r="390" spans="1:5" ht="45" customHeight="1" x14ac:dyDescent="0.25">
      <c r="A390" s="35" t="s">
        <v>704</v>
      </c>
      <c r="B390" s="35" t="s">
        <v>684</v>
      </c>
      <c r="C390" s="36" t="s">
        <v>210</v>
      </c>
      <c r="D390" s="35" t="s">
        <v>146</v>
      </c>
      <c r="E390" s="35" t="s">
        <v>637</v>
      </c>
    </row>
    <row r="391" spans="1:5" ht="45" customHeight="1" x14ac:dyDescent="0.25">
      <c r="A391" s="37" t="s">
        <v>705</v>
      </c>
      <c r="B391" s="37" t="s">
        <v>684</v>
      </c>
      <c r="C391" s="38" t="s">
        <v>210</v>
      </c>
      <c r="D391" s="37" t="s">
        <v>146</v>
      </c>
      <c r="E391" s="37" t="s">
        <v>637</v>
      </c>
    </row>
    <row r="392" spans="1:5" ht="45" customHeight="1" x14ac:dyDescent="0.25">
      <c r="A392" s="35" t="s">
        <v>706</v>
      </c>
      <c r="B392" s="35" t="s">
        <v>707</v>
      </c>
      <c r="C392" s="36" t="s">
        <v>210</v>
      </c>
      <c r="D392" s="35" t="s">
        <v>149</v>
      </c>
      <c r="E392" s="35" t="s">
        <v>666</v>
      </c>
    </row>
    <row r="393" spans="1:5" ht="45" customHeight="1" x14ac:dyDescent="0.25">
      <c r="A393" s="37" t="s">
        <v>706</v>
      </c>
      <c r="B393" s="37" t="s">
        <v>684</v>
      </c>
      <c r="C393" s="38" t="s">
        <v>210</v>
      </c>
      <c r="D393" s="37" t="s">
        <v>146</v>
      </c>
      <c r="E393" s="37" t="s">
        <v>637</v>
      </c>
    </row>
    <row r="394" spans="1:5" ht="45" customHeight="1" x14ac:dyDescent="0.25">
      <c r="A394" s="35" t="s">
        <v>708</v>
      </c>
      <c r="B394" s="35" t="s">
        <v>684</v>
      </c>
      <c r="C394" s="36" t="s">
        <v>210</v>
      </c>
      <c r="D394" s="35" t="s">
        <v>146</v>
      </c>
      <c r="E394" s="35" t="s">
        <v>637</v>
      </c>
    </row>
    <row r="395" spans="1:5" ht="45" customHeight="1" x14ac:dyDescent="0.25">
      <c r="A395" s="37" t="s">
        <v>708</v>
      </c>
      <c r="B395" s="37" t="s">
        <v>667</v>
      </c>
      <c r="C395" s="38" t="s">
        <v>210</v>
      </c>
      <c r="D395" s="37" t="s">
        <v>149</v>
      </c>
      <c r="E395" s="37" t="s">
        <v>668</v>
      </c>
    </row>
    <row r="396" spans="1:5" ht="45" customHeight="1" x14ac:dyDescent="0.25">
      <c r="A396" s="35" t="s">
        <v>708</v>
      </c>
      <c r="B396" s="35" t="s">
        <v>669</v>
      </c>
      <c r="C396" s="36" t="s">
        <v>210</v>
      </c>
      <c r="D396" s="35" t="s">
        <v>149</v>
      </c>
      <c r="E396" s="35" t="s">
        <v>668</v>
      </c>
    </row>
    <row r="397" spans="1:5" ht="45" customHeight="1" x14ac:dyDescent="0.25">
      <c r="A397" s="37" t="s">
        <v>709</v>
      </c>
      <c r="B397" s="37" t="s">
        <v>684</v>
      </c>
      <c r="C397" s="38" t="s">
        <v>210</v>
      </c>
      <c r="D397" s="37" t="s">
        <v>146</v>
      </c>
      <c r="E397" s="37" t="s">
        <v>637</v>
      </c>
    </row>
    <row r="398" spans="1:5" ht="45" customHeight="1" x14ac:dyDescent="0.25">
      <c r="A398" s="35" t="s">
        <v>710</v>
      </c>
      <c r="B398" s="35" t="s">
        <v>684</v>
      </c>
      <c r="C398" s="36" t="s">
        <v>210</v>
      </c>
      <c r="D398" s="35" t="s">
        <v>146</v>
      </c>
      <c r="E398" s="35" t="s">
        <v>637</v>
      </c>
    </row>
    <row r="399" spans="1:5" ht="45" customHeight="1" x14ac:dyDescent="0.25">
      <c r="A399" s="37" t="s">
        <v>711</v>
      </c>
      <c r="B399" s="37" t="s">
        <v>684</v>
      </c>
      <c r="C399" s="38" t="s">
        <v>210</v>
      </c>
      <c r="D399" s="37" t="s">
        <v>146</v>
      </c>
      <c r="E399" s="37" t="s">
        <v>637</v>
      </c>
    </row>
    <row r="402" spans="1:5" ht="26.1" customHeight="1" x14ac:dyDescent="0.25">
      <c r="A402" s="45" t="s">
        <v>712</v>
      </c>
      <c r="B402" s="44"/>
      <c r="C402" s="44"/>
      <c r="D402" s="44"/>
      <c r="E402" s="44"/>
    </row>
    <row r="403" spans="1:5" ht="24" customHeight="1" x14ac:dyDescent="0.25">
      <c r="A403" s="34" t="s">
        <v>207</v>
      </c>
      <c r="B403" s="34" t="s">
        <v>142</v>
      </c>
      <c r="C403" s="34" t="s">
        <v>143</v>
      </c>
    </row>
    <row r="404" spans="1:5" ht="38.25" x14ac:dyDescent="0.25">
      <c r="A404" s="35" t="s">
        <v>146</v>
      </c>
      <c r="B404" s="39">
        <v>126</v>
      </c>
      <c r="C404" s="40">
        <v>0.31818181818181818</v>
      </c>
    </row>
    <row r="405" spans="1:5" ht="25.5" x14ac:dyDescent="0.25">
      <c r="A405" s="37" t="s">
        <v>149</v>
      </c>
      <c r="B405" s="41">
        <v>119</v>
      </c>
      <c r="C405" s="42">
        <v>0.3005050505050505</v>
      </c>
    </row>
    <row r="406" spans="1:5" ht="25.5" x14ac:dyDescent="0.25">
      <c r="A406" s="35" t="s">
        <v>155</v>
      </c>
      <c r="B406" s="39">
        <v>85</v>
      </c>
      <c r="C406" s="40">
        <v>0.21464646464646461</v>
      </c>
    </row>
    <row r="407" spans="1:5" ht="38.25" x14ac:dyDescent="0.25">
      <c r="A407" s="37" t="s">
        <v>152</v>
      </c>
      <c r="B407" s="41">
        <v>44</v>
      </c>
      <c r="C407" s="42">
        <v>0.1111111111111111</v>
      </c>
    </row>
    <row r="408" spans="1:5" ht="25.5" x14ac:dyDescent="0.25">
      <c r="A408" s="35" t="s">
        <v>161</v>
      </c>
      <c r="B408" s="39">
        <v>10</v>
      </c>
      <c r="C408" s="40">
        <v>2.5252525252525249E-2</v>
      </c>
    </row>
    <row r="409" spans="1:5" ht="25.5" x14ac:dyDescent="0.25">
      <c r="A409" s="37" t="s">
        <v>244</v>
      </c>
      <c r="B409" s="41">
        <v>6</v>
      </c>
      <c r="C409" s="42">
        <v>1.515151515151515E-2</v>
      </c>
    </row>
    <row r="410" spans="1:5" ht="25.5" x14ac:dyDescent="0.25">
      <c r="A410" s="35" t="s">
        <v>158</v>
      </c>
      <c r="B410" s="39">
        <v>3</v>
      </c>
      <c r="C410" s="40">
        <v>7.575757575757576E-3</v>
      </c>
    </row>
    <row r="411" spans="1:5" ht="25.5" x14ac:dyDescent="0.25">
      <c r="A411" s="37" t="s">
        <v>167</v>
      </c>
      <c r="B411" s="41">
        <v>1</v>
      </c>
      <c r="C411" s="42">
        <v>2.525252525252525E-3</v>
      </c>
    </row>
    <row r="412" spans="1:5" ht="38.25" x14ac:dyDescent="0.25">
      <c r="A412" s="35" t="s">
        <v>164</v>
      </c>
      <c r="B412" s="39">
        <v>1</v>
      </c>
      <c r="C412" s="40">
        <v>2.525252525252525E-3</v>
      </c>
    </row>
    <row r="413" spans="1:5" ht="25.5" x14ac:dyDescent="0.25">
      <c r="A413" s="37" t="s">
        <v>699</v>
      </c>
      <c r="B413" s="41">
        <v>1</v>
      </c>
      <c r="C413" s="42">
        <v>2.525252525252525E-3</v>
      </c>
    </row>
  </sheetData>
  <mergeCells count="3">
    <mergeCell ref="A2:E2"/>
    <mergeCell ref="A402:E402"/>
    <mergeCell ref="A1:E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818AEC846C7745B2C7A0EBB1F046A8" ma:contentTypeVersion="10" ma:contentTypeDescription="Create a new document." ma:contentTypeScope="" ma:versionID="7d93b83d358a286470032f99238cfcb0">
  <xsd:schema xmlns:xsd="http://www.w3.org/2001/XMLSchema" xmlns:xs="http://www.w3.org/2001/XMLSchema" xmlns:p="http://schemas.microsoft.com/office/2006/metadata/properties" xmlns:ns2="b63168a2-a9a6-40c6-b2b8-24a5a9d5711b" xmlns:ns3="8e9c091f-00c8-44a5-87a7-7ac62a51b79c" targetNamespace="http://schemas.microsoft.com/office/2006/metadata/properties" ma:root="true" ma:fieldsID="f1991a00c21810dc69800d16b3f9c77b" ns2:_="" ns3:_="">
    <xsd:import namespace="b63168a2-a9a6-40c6-b2b8-24a5a9d5711b"/>
    <xsd:import namespace="8e9c091f-00c8-44a5-87a7-7ac62a51b7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3168a2-a9a6-40c6-b2b8-24a5a9d571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9c091f-00c8-44a5-87a7-7ac62a51b79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974459f-9787-4986-9143-367cc8df5244}" ma:internalName="TaxCatchAll" ma:showField="CatchAllData" ma:web="8e9c091f-00c8-44a5-87a7-7ac62a51b7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3168a2-a9a6-40c6-b2b8-24a5a9d5711b">
      <Terms xmlns="http://schemas.microsoft.com/office/infopath/2007/PartnerControls"/>
    </lcf76f155ced4ddcb4097134ff3c332f>
    <TaxCatchAll xmlns="8e9c091f-00c8-44a5-87a7-7ac62a51b79c" xsi:nil="true"/>
  </documentManagement>
</p:properties>
</file>

<file path=customXml/itemProps1.xml><?xml version="1.0" encoding="utf-8"?>
<ds:datastoreItem xmlns:ds="http://schemas.openxmlformats.org/officeDocument/2006/customXml" ds:itemID="{F1046077-3B69-43D8-8DF2-1A1CB095D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3168a2-a9a6-40c6-b2b8-24a5a9d5711b"/>
    <ds:schemaRef ds:uri="8e9c091f-00c8-44a5-87a7-7ac62a51b7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268098-BD72-4FAB-84C6-37BBABF25F42}">
  <ds:schemaRefs>
    <ds:schemaRef ds:uri="http://schemas.microsoft.com/sharepoint/v3/contenttype/forms"/>
  </ds:schemaRefs>
</ds:datastoreItem>
</file>

<file path=customXml/itemProps3.xml><?xml version="1.0" encoding="utf-8"?>
<ds:datastoreItem xmlns:ds="http://schemas.openxmlformats.org/officeDocument/2006/customXml" ds:itemID="{250F0CDD-5E9D-49D6-808C-8A7ECAB92AB2}">
  <ds:schemaRefs>
    <ds:schemaRef ds:uri="http://schemas.microsoft.com/office/2006/metadata/properties"/>
    <ds:schemaRef ds:uri="http://schemas.microsoft.com/office/infopath/2007/PartnerControls"/>
    <ds:schemaRef ds:uri="b63168a2-a9a6-40c6-b2b8-24a5a9d5711b"/>
    <ds:schemaRef ds:uri="8e9c091f-00c8-44a5-87a7-7ac62a51b7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 Summary</vt:lpstr>
      <vt:lpstr>FP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Tandon, Utsav</cp:lastModifiedBy>
  <cp:revision>0</cp:revision>
  <dcterms:created xsi:type="dcterms:W3CDTF">2026-04-03T21:57:10Z</dcterms:created>
  <dcterms:modified xsi:type="dcterms:W3CDTF">2026-04-13T04:51:05Z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0x0101004A818AEC846C7745B2C7A0EBB1F046A8</vt:lpwstr>
  </property>
  <property fmtid="{D5CDD505-2E9C-101B-9397-08002B2CF9AE}" pid="3" name="MediaServiceImageTags">
    <vt:lpwstr/>
  </property>
</Properties>
</file>